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тчёт" state="visible" r:id="rId4"/>
    <sheet sheetId="2" name="Записи" state="visible" r:id="rId5"/>
    <sheet sheetId="3" name="Как считалось" state="visible" r:id="rId6"/>
  </sheets>
  <calcPr calcId="171027"/>
</workbook>
</file>

<file path=xl/sharedStrings.xml><?xml version="1.0" encoding="utf-8"?>
<sst xmlns="http://schemas.openxmlformats.org/spreadsheetml/2006/main" count="1074" uniqueCount="279">
  <si>
    <t>Бригада и адрес</t>
  </si>
  <si>
    <t>28.09.2026</t>
  </si>
  <si>
    <t>29.09.2026</t>
  </si>
  <si>
    <t>30.09.2026</t>
  </si>
  <si>
    <t>01.10.2026</t>
  </si>
  <si>
    <t>02.10.2026</t>
  </si>
  <si>
    <t>03.10.2026</t>
  </si>
  <si>
    <t>Итого</t>
  </si>
  <si>
    <t>Сумма начислений</t>
  </si>
  <si>
    <t>Эффективное рабочее время (ч.)</t>
  </si>
  <si>
    <t>Доходность часа</t>
  </si>
  <si>
    <t>1. СТАЛЬНЫЕ</t>
  </si>
  <si>
    <t>Бригада 1</t>
  </si>
  <si>
    <t>Бригадир 1</t>
  </si>
  <si>
    <t/>
  </si>
  <si>
    <t>8.20-16.40</t>
  </si>
  <si>
    <t>8.00-16.35</t>
  </si>
  <si>
    <t>8.15-16.30</t>
  </si>
  <si>
    <t>8.10-16.40</t>
  </si>
  <si>
    <t>8.20-16.30</t>
  </si>
  <si>
    <t>41 час 50 мин</t>
  </si>
  <si>
    <t>СТ Заря, ул. Демо, 1</t>
  </si>
  <si>
    <t>ст. Анастасиевская, ул. Демо, 2</t>
  </si>
  <si>
    <t>ст. Петровская, ул. Демо, 3</t>
  </si>
  <si>
    <t>ст. Петровская, ул. Демо, 4</t>
  </si>
  <si>
    <t>х. Бараниковский, ул. Демо, 5</t>
  </si>
  <si>
    <t>х. Прикубанский, ул. Демо, 6 - котел</t>
  </si>
  <si>
    <t>х. Прикубанский, ул. Демо, 7 - котел</t>
  </si>
  <si>
    <t>Бригада 2</t>
  </si>
  <si>
    <t>Бригадир 2</t>
  </si>
  <si>
    <t>9.00-16.30</t>
  </si>
  <si>
    <t>7.50-16.40</t>
  </si>
  <si>
    <t>8.00-16.50</t>
  </si>
  <si>
    <t>7.40-16.50</t>
  </si>
  <si>
    <t>8.00-17.10</t>
  </si>
  <si>
    <t>7.50-18.10</t>
  </si>
  <si>
    <t>53 час 50 мин</t>
  </si>
  <si>
    <t>г. Славянск н/К, ул. Демо, 10</t>
  </si>
  <si>
    <t>г. Славянск н/К, ул. Демо, 11 - ввод</t>
  </si>
  <si>
    <t>г. Славянск н/К, ул. Демо, 12</t>
  </si>
  <si>
    <t>г. Славянск н/К, ул. Демо, 13 - котел</t>
  </si>
  <si>
    <t>г. Славянск н/К, ул. Демо, 8 - котел</t>
  </si>
  <si>
    <t>г. Славянск н/К, ул. Демо, 9 - котел</t>
  </si>
  <si>
    <t>п. Забойский, ул. Демо, 14</t>
  </si>
  <si>
    <t>п. Забойский, ул. Демо, 15 - ввод</t>
  </si>
  <si>
    <t>п. Садовый, ул. Демо, 16 - котел</t>
  </si>
  <si>
    <t>п. Совхозный, ул. Демо, 17 - котел</t>
  </si>
  <si>
    <t>п. Совхозный, ул. Демо, 18 - котел</t>
  </si>
  <si>
    <t>ст. Петровская, ул. Демо, 19 - котел</t>
  </si>
  <si>
    <t>ст. Петровская, ул. Демо, 20 - котел</t>
  </si>
  <si>
    <t>ст. Петровская, ул. Демо, 21 - котел</t>
  </si>
  <si>
    <t>Бригада 3</t>
  </si>
  <si>
    <t>Бригадир 3</t>
  </si>
  <si>
    <t>8.00-20.50</t>
  </si>
  <si>
    <t>8.00-20.40</t>
  </si>
  <si>
    <t>8.00-23.10</t>
  </si>
  <si>
    <t>8.00-20.20</t>
  </si>
  <si>
    <t>65 час 40 мин</t>
  </si>
  <si>
    <t>г. Славянск н/К, ул. Демо, 22 - котел</t>
  </si>
  <si>
    <t>г. Славянск н/К, ул. Демо, 23 - котел</t>
  </si>
  <si>
    <t>г. Славянск н/К, ул. Демо, 24 - котел</t>
  </si>
  <si>
    <t>г. Славянск н/К, ул. Демо, 25 - замена счетчика</t>
  </si>
  <si>
    <t>г. Славянск н/К, ул. Демо, 26</t>
  </si>
  <si>
    <t>г. Славянск н/К, ул. Демо, 27 - котел</t>
  </si>
  <si>
    <t>г. Славянск н/К, ул. Демо, 28 - котел</t>
  </si>
  <si>
    <t>г. Славянск н/К, ул. Демо, 29 - котел, насос</t>
  </si>
  <si>
    <t>г. Славянск н/К, ул. Демо, 30 - демонтаж котла</t>
  </si>
  <si>
    <t>г. Славянск н/К, ул. Демо, 31 - котел</t>
  </si>
  <si>
    <t>г. Славянск н/К, ул. Демо, 32 - котел</t>
  </si>
  <si>
    <t>п. Голубая Нива, ул. Демо, 33 - котел</t>
  </si>
  <si>
    <t>ст. Петровская, ул. Демо, 34 - котел</t>
  </si>
  <si>
    <t>ст. Петровская, ул. Демо, 35 - котел</t>
  </si>
  <si>
    <t>ст. Черноерковская, ул. Демо, 36 - котел</t>
  </si>
  <si>
    <t>х. Семисводный, ул. Демо, 37 - котел</t>
  </si>
  <si>
    <t>х. Слободка, ул. Демо, 38 - котел</t>
  </si>
  <si>
    <t>Бригада 4</t>
  </si>
  <si>
    <t>Бригадир 4</t>
  </si>
  <si>
    <t>8.20-18.30</t>
  </si>
  <si>
    <t>8.10-17.00</t>
  </si>
  <si>
    <t>8.10-16.50</t>
  </si>
  <si>
    <t>8.10-17.50</t>
  </si>
  <si>
    <t>8.10-17.20</t>
  </si>
  <si>
    <t>46 час 30 мин</t>
  </si>
  <si>
    <t>г. Славянск н/К, ул. Демо, 39</t>
  </si>
  <si>
    <t>г. Славянск н/К, ул. Демо, 40</t>
  </si>
  <si>
    <t>п. Забойский, ул. Демо, 41 - котел</t>
  </si>
  <si>
    <t>п. Садовый, ул. Демо, 42</t>
  </si>
  <si>
    <t>х. Беликов, ул. Демо, 43 - котел</t>
  </si>
  <si>
    <t>х. Галицын, ул. Демо, 44 - котел</t>
  </si>
  <si>
    <t>х. Галицын, ул. Демо, 45 - котел</t>
  </si>
  <si>
    <t>х. Красноармейский городок, ул. Демо, 46 - котел</t>
  </si>
  <si>
    <t>х. Солодковский, ул. Демо, 47 - котел</t>
  </si>
  <si>
    <t>Бригада 5</t>
  </si>
  <si>
    <t>Бригадир 5</t>
  </si>
  <si>
    <t>г. Славянск н/К, ул. Демо, 48 - котел</t>
  </si>
  <si>
    <t>г. Славянск н/К, ул. Демо, 49 - котел, насос</t>
  </si>
  <si>
    <t>г. Славянск н/К, ул. Демо, 50 - котел</t>
  </si>
  <si>
    <t>г. Славянск н/К, ул. Демо, 51 - котел</t>
  </si>
  <si>
    <t>п. Забойский, ул. Демо, 52 - котел</t>
  </si>
  <si>
    <t>СТ Хуторок, ул. Демо, 53 - ввод</t>
  </si>
  <si>
    <t>СТ Хуторок, ул. Демо, 54 - ввод</t>
  </si>
  <si>
    <t>СТ Хуторок, ул. Демо, 55 - ввод</t>
  </si>
  <si>
    <t>СТ Хуторок, ул. Демо, 56 - ввод</t>
  </si>
  <si>
    <t>ст. Анастасиевская, ул. Демо, 57 - котел</t>
  </si>
  <si>
    <t>ст. Анастасиевская, ул. Демо, 58 - устранение утечки</t>
  </si>
  <si>
    <t>ст. Анастасиевская, ул. Демо, 59 - котел</t>
  </si>
  <si>
    <t>ст. Петровская, ул. Демо, 60 - котел</t>
  </si>
  <si>
    <t>х. Водный, ул. Демо, 61 - котел</t>
  </si>
  <si>
    <t>х. Галицын, ул. Демо, 62 - котел</t>
  </si>
  <si>
    <t>Бригада 7</t>
  </si>
  <si>
    <t>Бригадир 7</t>
  </si>
  <si>
    <t>8.00-18.20</t>
  </si>
  <si>
    <t>8.10-18.20</t>
  </si>
  <si>
    <t>8.10-18.10</t>
  </si>
  <si>
    <t>8.00-19.00</t>
  </si>
  <si>
    <t>8.00-18.30</t>
  </si>
  <si>
    <t>52 час</t>
  </si>
  <si>
    <t>г. Славянск н/К, ул. Демо, 63 - котел</t>
  </si>
  <si>
    <t>г. Славянск н/К, ул. Демо, 64 - котел</t>
  </si>
  <si>
    <t>г. Славянск н/К, ул. Демо, 65 - демонтаж котла</t>
  </si>
  <si>
    <t>г. Славянск н/К, ул. Демо, 66 - котел</t>
  </si>
  <si>
    <t>г. Славянск н/К, ул. Демо, 67 - котел</t>
  </si>
  <si>
    <t>г. Славянск н/К, ул. Демо, 68 - котел</t>
  </si>
  <si>
    <t>г. Славянск н/К, ул. Демо, 69 - котел</t>
  </si>
  <si>
    <t>п. Совхозный, ул. Демо, 70 - котел</t>
  </si>
  <si>
    <t>п. Совхозный, ул. Демо, 71 - котел, насос</t>
  </si>
  <si>
    <t>п. Целинный, ул. Демо, 72 - котел</t>
  </si>
  <si>
    <t>ст. Петровская, ул. Демо, 73 - котел</t>
  </si>
  <si>
    <t>ст. Черноерковская, ул. Демо, 74 - котел</t>
  </si>
  <si>
    <t>ст. Черноерковская, ул. Демо, 75 - котел</t>
  </si>
  <si>
    <t>Сотрудник 7.2</t>
  </si>
  <si>
    <t>8.00-17.00</t>
  </si>
  <si>
    <t>8.00-18.00</t>
  </si>
  <si>
    <t>46 час</t>
  </si>
  <si>
    <t>с. Ачуево, ул. Демо, 76</t>
  </si>
  <si>
    <t>ул. Демо, 77 - КНС</t>
  </si>
  <si>
    <t>3. ДОПОЛНИТЕЛЬНЫЕ БРИГАДЫ</t>
  </si>
  <si>
    <t>3.1. СЭГ</t>
  </si>
  <si>
    <t>п. Совхозный, ул. Демо, 78</t>
  </si>
  <si>
    <t>Бригада 3.10</t>
  </si>
  <si>
    <t>Бригадир 3.10</t>
  </si>
  <si>
    <t>ст. Петровская, ул. Демо, 79 - котел</t>
  </si>
  <si>
    <t>ст. Петровская, ул. Демо, 80 - котел</t>
  </si>
  <si>
    <t>Бригада 3.7</t>
  </si>
  <si>
    <t>Бригадир 3.7</t>
  </si>
  <si>
    <t>ст. Петровская, ул. Демо, 81 - котел</t>
  </si>
  <si>
    <t>5. ОТОПЛЕНИЕ</t>
  </si>
  <si>
    <t>Бригада 5.1</t>
  </si>
  <si>
    <t>Состав бригады 5.1</t>
  </si>
  <si>
    <t>ст. Анастасиевская, ул. Демо, 82</t>
  </si>
  <si>
    <t>Номер</t>
  </si>
  <si>
    <t>Дата</t>
  </si>
  <si>
    <t>Подразделение</t>
  </si>
  <si>
    <t>Бригада</t>
  </si>
  <si>
    <t>Сотрудник</t>
  </si>
  <si>
    <t>Объект</t>
  </si>
  <si>
    <t>Вид работ</t>
  </si>
  <si>
    <t>Минуты</t>
  </si>
  <si>
    <t>Часы</t>
  </si>
  <si>
    <t>Статус</t>
  </si>
  <si>
    <t>Источник данных</t>
  </si>
  <si>
    <t>ГЗ-00001</t>
  </si>
  <si>
    <t>confirmed</t>
  </si>
  <si>
    <t>факт из отчёта</t>
  </si>
  <si>
    <t>ГЗ-00002</t>
  </si>
  <si>
    <t>ГЗ-00003</t>
  </si>
  <si>
    <t>ГЗ-00004</t>
  </si>
  <si>
    <t>ГЗ-00005</t>
  </si>
  <si>
    <t>ГЗ-00006</t>
  </si>
  <si>
    <t>котел</t>
  </si>
  <si>
    <t>ГЗ-00007</t>
  </si>
  <si>
    <t>ГЗ-00008</t>
  </si>
  <si>
    <t>ГЗ-00009</t>
  </si>
  <si>
    <t>ГЗ-00010</t>
  </si>
  <si>
    <t>ГЗ-00011</t>
  </si>
  <si>
    <t>ввод</t>
  </si>
  <si>
    <t>ГЗ-00012</t>
  </si>
  <si>
    <t>ГЗ-00013</t>
  </si>
  <si>
    <t>ГЗ-00014</t>
  </si>
  <si>
    <t>ГЗ-00015</t>
  </si>
  <si>
    <t>ГЗ-00016</t>
  </si>
  <si>
    <t>ГЗ-00017</t>
  </si>
  <si>
    <t>ГЗ-00018</t>
  </si>
  <si>
    <t>ГЗ-00019</t>
  </si>
  <si>
    <t>ГЗ-00020</t>
  </si>
  <si>
    <t>ГЗ-00021</t>
  </si>
  <si>
    <t>ГЗ-00022</t>
  </si>
  <si>
    <t>ГЗ-00023</t>
  </si>
  <si>
    <t>ГЗ-00024</t>
  </si>
  <si>
    <t>ГЗ-00025</t>
  </si>
  <si>
    <t>замена счетчика</t>
  </si>
  <si>
    <t>ГЗ-00026</t>
  </si>
  <si>
    <t>ГЗ-00027</t>
  </si>
  <si>
    <t>ГЗ-00028</t>
  </si>
  <si>
    <t>ГЗ-00029</t>
  </si>
  <si>
    <t>котел, насос</t>
  </si>
  <si>
    <t>ГЗ-00030</t>
  </si>
  <si>
    <t>демонтаж котла</t>
  </si>
  <si>
    <t>ГЗ-00031</t>
  </si>
  <si>
    <t>ГЗ-00032</t>
  </si>
  <si>
    <t>ГЗ-00033</t>
  </si>
  <si>
    <t>ГЗ-00034</t>
  </si>
  <si>
    <t>ГЗ-00035</t>
  </si>
  <si>
    <t>ГЗ-00036</t>
  </si>
  <si>
    <t>ГЗ-00037</t>
  </si>
  <si>
    <t>ГЗ-00038</t>
  </si>
  <si>
    <t>ГЗ-00039</t>
  </si>
  <si>
    <t>ГЗ-00040</t>
  </si>
  <si>
    <t>ГЗ-00041</t>
  </si>
  <si>
    <t>ГЗ-00042</t>
  </si>
  <si>
    <t>ГЗ-00043</t>
  </si>
  <si>
    <t>ГЗ-00044</t>
  </si>
  <si>
    <t>ГЗ-00045</t>
  </si>
  <si>
    <t>ГЗ-00046</t>
  </si>
  <si>
    <t>ГЗ-00047</t>
  </si>
  <si>
    <t>ГЗ-00048</t>
  </si>
  <si>
    <t>ГЗ-00049</t>
  </si>
  <si>
    <t>ГЗ-00050</t>
  </si>
  <si>
    <t>ГЗ-00051</t>
  </si>
  <si>
    <t>ГЗ-00052</t>
  </si>
  <si>
    <t>ГЗ-00053</t>
  </si>
  <si>
    <t>ГЗ-00054</t>
  </si>
  <si>
    <t>ГЗ-00055</t>
  </si>
  <si>
    <t>ГЗ-00056</t>
  </si>
  <si>
    <t>ГЗ-00057</t>
  </si>
  <si>
    <t>ГЗ-00058</t>
  </si>
  <si>
    <t>ГЗ-00059</t>
  </si>
  <si>
    <t>ГЗ-00060</t>
  </si>
  <si>
    <t>ГЗ-00061</t>
  </si>
  <si>
    <t>ГЗ-00062</t>
  </si>
  <si>
    <t>устранение утечки</t>
  </si>
  <si>
    <t>ГЗ-00063</t>
  </si>
  <si>
    <t>ГЗ-00064</t>
  </si>
  <si>
    <t>ГЗ-00065</t>
  </si>
  <si>
    <t>ГЗ-00066</t>
  </si>
  <si>
    <t>ГЗ-00067</t>
  </si>
  <si>
    <t>ГЗ-00068</t>
  </si>
  <si>
    <t>ГЗ-00069</t>
  </si>
  <si>
    <t>ГЗ-00070</t>
  </si>
  <si>
    <t>ГЗ-00071</t>
  </si>
  <si>
    <t>ГЗ-00072</t>
  </si>
  <si>
    <t>ГЗ-00073</t>
  </si>
  <si>
    <t>ГЗ-00074</t>
  </si>
  <si>
    <t>ГЗ-00075</t>
  </si>
  <si>
    <t>ГЗ-00076</t>
  </si>
  <si>
    <t>ГЗ-00077</t>
  </si>
  <si>
    <t>ГЗ-00078</t>
  </si>
  <si>
    <t>ГЗ-00079</t>
  </si>
  <si>
    <t>ГЗ-00080</t>
  </si>
  <si>
    <t>ГЗ-00081</t>
  </si>
  <si>
    <t>КНС</t>
  </si>
  <si>
    <t>ГЗ-00082</t>
  </si>
  <si>
    <t>ГЗ-00083</t>
  </si>
  <si>
    <t>ГЗ-00084</t>
  </si>
  <si>
    <t>ГЗ-00085</t>
  </si>
  <si>
    <t>—</t>
  </si>
  <si>
    <t>ГЗ-00086</t>
  </si>
  <si>
    <t>ГЗ-00087</t>
  </si>
  <si>
    <t>ГЗ-00088</t>
  </si>
  <si>
    <t>ГЗ-00089</t>
  </si>
  <si>
    <t>ГЗ-00090</t>
  </si>
  <si>
    <t>ГЗ-00091</t>
  </si>
  <si>
    <t>ГЗ-00092</t>
  </si>
  <si>
    <t>ГЗ-00093</t>
  </si>
  <si>
    <t>Неделя 28.09.2026 — 03.10.2026.</t>
  </si>
  <si>
    <t>В отчёт включены только подтверждённые записи.</t>
  </si>
  <si>
    <t>Правила расчёта:</t>
  </si>
  <si>
    <t>1. Эффективное время = окончание минус начало минус перерывы. Считается в минутах.</t>
  </si>
  <si>
    <t>2. Часы = минуты / 60, показываются с двумя знаками.</t>
  </si>
  <si>
    <t>3. Доходность часа = сумма / (минуты / 60), округление до рубля.</t>
  </si>
  <si>
    <t>4. Доходность адресной строки записана значением и посчитана от минут.</t>
  </si>
  <si>
    <t xml:space="preserve">   Доходность итоговых строк записана формулой от суммы и часов этой же строки:</t>
  </si>
  <si>
    <t xml:space="preserve">   на половине рубля она может отличаться от значения в системе ровно на рубль.</t>
  </si>
  <si>
    <t>5. Итоги групп, бригад и сотрудников — формулы SUM по дочерним строкам.</t>
  </si>
  <si>
    <t xml:space="preserve">   Агрегат не складывается с детьми: строка группы это сумма её бригад.</t>
  </si>
  <si>
    <t>6. Строка рамки смены показывает границу дня и не несёт денег и часов работы.</t>
  </si>
  <si>
    <t>7. Строка без суммы остаётся без суммы: доходность по ней не считается.</t>
  </si>
  <si>
    <t>Данные обезличены: ФИО заменены на роли, улица и дом — на «ул. Демо, N».</t>
  </si>
  <si>
    <t>Населённый пункт, вид работ, суммы, часы и интервалы перенесены из отчёта заказчика.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</si>
</sst>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 ##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0" fillId="0" borderId="0" xfId="0" applyAlignment="1">
      <alignment vertical="center" indent="2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vertical="center" indent="4"/>
    </xf>
    <xf numFmtId="0" fontId="0" fillId="0" borderId="0" xfId="0" applyAlignment="1">
      <alignment horizontal="center"/>
    </xf>
    <xf numFmtId="0" fontId="0" fillId="0" borderId="0" xfId="0" applyAlignment="1">
      <alignment vertical="center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9"/>
  <sheetViews>
    <sheetView workbookViewId="0">
      <pane xSplit="4" ySplit="2" topLeftCell="E3" activePane="bottomRight" state="frozen"/>
      <selection pane="bottomRight"/>
    </sheetView>
  </sheetViews>
  <sheetFormatPr defaultRowHeight="15" outlineLevelRow="3" outlineLevelCol="0" x14ac:dyDescent="55"/>
  <cols>
    <col min="1" max="1" width="46" customWidth="1"/>
    <col min="2" max="4" width="2" customWidth="1"/>
    <col min="5" max="5" width="16" customWidth="1"/>
    <col min="6" max="7" width="14" customWidth="1"/>
    <col min="8" max="8" width="16" customWidth="1"/>
    <col min="9" max="10" width="14" customWidth="1"/>
    <col min="11" max="11" width="16" customWidth="1"/>
    <col min="12" max="13" width="14" customWidth="1"/>
    <col min="14" max="14" width="16" customWidth="1"/>
    <col min="15" max="16" width="14" customWidth="1"/>
    <col min="17" max="17" width="16" customWidth="1"/>
    <col min="18" max="19" width="14" customWidth="1"/>
    <col min="20" max="20" width="16" customWidth="1"/>
    <col min="21" max="22" width="14" customWidth="1"/>
    <col min="23" max="23" width="16" customWidth="1"/>
    <col min="24" max="25" width="14" customWidth="1"/>
  </cols>
  <sheetData>
    <row r="1" ht="20" customHeight="1" spans="1:25" s="1" customFormat="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 t="s">
        <v>2</v>
      </c>
      <c r="I1" s="1"/>
      <c r="J1" s="1"/>
      <c r="K1" s="1" t="s">
        <v>3</v>
      </c>
      <c r="L1" s="1"/>
      <c r="M1" s="1"/>
      <c r="N1" s="1" t="s">
        <v>4</v>
      </c>
      <c r="O1" s="1"/>
      <c r="P1" s="1"/>
      <c r="Q1" s="1" t="s">
        <v>5</v>
      </c>
      <c r="R1" s="1"/>
      <c r="S1" s="1"/>
      <c r="T1" s="1" t="s">
        <v>6</v>
      </c>
      <c r="U1" s="1"/>
      <c r="V1" s="1"/>
      <c r="W1" s="1" t="s">
        <v>7</v>
      </c>
      <c r="X1" s="1"/>
      <c r="Y1" s="1"/>
    </row>
    <row r="2" ht="34" customHeight="1" spans="1:25" s="1" customFormat="1" x14ac:dyDescent="0.25">
      <c r="A2" s="1"/>
      <c r="B2" s="1"/>
      <c r="C2" s="1"/>
      <c r="D2" s="1"/>
      <c r="E2" s="1" t="s">
        <v>8</v>
      </c>
      <c r="F2" s="1" t="s">
        <v>9</v>
      </c>
      <c r="G2" s="1" t="s">
        <v>10</v>
      </c>
      <c r="H2" s="1" t="s">
        <v>8</v>
      </c>
      <c r="I2" s="1" t="s">
        <v>9</v>
      </c>
      <c r="J2" s="1" t="s">
        <v>10</v>
      </c>
      <c r="K2" s="1" t="s">
        <v>8</v>
      </c>
      <c r="L2" s="1" t="s">
        <v>9</v>
      </c>
      <c r="M2" s="1" t="s">
        <v>10</v>
      </c>
      <c r="N2" s="1" t="s">
        <v>8</v>
      </c>
      <c r="O2" s="1" t="s">
        <v>9</v>
      </c>
      <c r="P2" s="1" t="s">
        <v>10</v>
      </c>
      <c r="Q2" s="1" t="s">
        <v>8</v>
      </c>
      <c r="R2" s="1" t="s">
        <v>9</v>
      </c>
      <c r="S2" s="1" t="s">
        <v>10</v>
      </c>
      <c r="T2" s="1" t="s">
        <v>8</v>
      </c>
      <c r="U2" s="1" t="s">
        <v>9</v>
      </c>
      <c r="V2" s="1" t="s">
        <v>10</v>
      </c>
      <c r="W2" s="1" t="s">
        <v>8</v>
      </c>
      <c r="X2" s="1" t="s">
        <v>9</v>
      </c>
      <c r="Y2" s="1" t="s">
        <v>10</v>
      </c>
    </row>
    <row r="3" spans="1:25" s="2" customFormat="1" x14ac:dyDescent="0.25">
      <c r="A3" s="3" t="s">
        <v>11</v>
      </c>
      <c r="B3" s="3"/>
      <c r="C3" s="3"/>
      <c r="D3" s="3"/>
      <c r="E3" s="4">
        <f>SUM(E4,E14,E31,E51,E63,E85)</f>
        <v>285410</v>
      </c>
      <c r="F3" s="5">
        <f>SUM(F4,F14,F31,F51,F63,F85)</f>
        <v>56.83</v>
      </c>
      <c r="G3" s="4">
        <f>IF(F3=0,"",ROUND(E3/F3,0))</f>
        <v>5022</v>
      </c>
      <c r="H3" s="4">
        <f>SUM(H4,H14,H31,H51,H63,H85)</f>
        <v>226235</v>
      </c>
      <c r="I3" s="5">
        <f>SUM(I4,I14,I31,I51,I63,I85)</f>
        <v>54</v>
      </c>
      <c r="J3" s="4">
        <f>IF(I3=0,"",ROUND(H3/I3,0))</f>
        <v>4190</v>
      </c>
      <c r="K3" s="4">
        <f>SUM(K4,K14,K31,K51,K63,K85)</f>
        <v>230664</v>
      </c>
      <c r="L3" s="5">
        <f>SUM(L4,L14,L31,L51,L63,L85)</f>
        <v>56.75</v>
      </c>
      <c r="M3" s="4">
        <f>IF(L3=0,"",ROUND(K3/L3,0))</f>
        <v>4065</v>
      </c>
      <c r="N3" s="4">
        <f>SUM(N4,N14,N31,N51,N63,N85)</f>
        <v>264838</v>
      </c>
      <c r="O3" s="5">
        <f>SUM(O4,O14,O31,O51,O63,O85)</f>
        <v>60.83</v>
      </c>
      <c r="P3" s="4">
        <f>IF(O3=0,"",ROUND(N3/O3,0))</f>
        <v>4354</v>
      </c>
      <c r="Q3" s="4">
        <f>SUM(Q4,Q14,Q31,Q51,Q63,Q85)</f>
        <v>311304</v>
      </c>
      <c r="R3" s="5">
        <f>SUM(R4,R14,R31,R51,R63,R85)</f>
        <v>56.67</v>
      </c>
      <c r="S3" s="4">
        <f>IF(R3=0,"",ROUND(Q3/R3,0))</f>
        <v>5494</v>
      </c>
      <c r="T3" s="4">
        <f>SUM(T4,T14,T31,T51,T63,T85)</f>
        <v>44100</v>
      </c>
      <c r="U3" s="5">
        <f>SUM(U4,U14,U31,U51,U63,U85)</f>
        <v>8.33</v>
      </c>
      <c r="V3" s="4">
        <f>IF(U3=0,"",ROUND(T3/U3,0))</f>
        <v>5292</v>
      </c>
      <c r="W3" s="4">
        <f>SUM(W4,W14,W31,W51,W63,W85)</f>
        <v>1362551</v>
      </c>
      <c r="X3" s="5">
        <f>SUM(X4,X14,X31,X51,X63,X85)</f>
        <v>293.42</v>
      </c>
      <c r="Y3" s="4">
        <f>IF(X3=0,"",ROUND(W3/X3,0))</f>
        <v>4644</v>
      </c>
    </row>
    <row r="4" spans="1:25" x14ac:dyDescent="0.25" outlineLevel="1">
      <c r="A4" s="6" t="s">
        <v>12</v>
      </c>
      <c r="B4" s="6"/>
      <c r="C4" s="6"/>
      <c r="D4" s="6"/>
      <c r="E4" s="7">
        <f>SUM(E5)</f>
        <v>44847</v>
      </c>
      <c r="F4" s="8">
        <f>SUM(F5)</f>
        <v>6.58</v>
      </c>
      <c r="G4" s="7">
        <f>IF(F4=0,"",ROUND(E4/F4,0))</f>
        <v>6812</v>
      </c>
      <c r="H4" s="7">
        <f>SUM(H5)</f>
        <v>29400</v>
      </c>
      <c r="I4" s="8">
        <f>SUM(I5)</f>
        <v>6.33</v>
      </c>
      <c r="J4" s="7">
        <f>IF(I4=0,"",ROUND(H4/I4,0))</f>
        <v>4642</v>
      </c>
      <c r="K4" s="7">
        <f>SUM(K5)</f>
        <v>39835</v>
      </c>
      <c r="L4" s="8">
        <f>SUM(L5)</f>
        <v>6.42</v>
      </c>
      <c r="M4" s="7">
        <f>IF(L4=0,"",ROUND(K4/L4,0))</f>
        <v>6208</v>
      </c>
      <c r="N4" s="7">
        <f>SUM(N5)</f>
        <v>61322</v>
      </c>
      <c r="O4" s="8">
        <f>SUM(O5)</f>
        <v>6.5</v>
      </c>
      <c r="P4" s="7">
        <f>IF(O4=0,"",ROUND(N4/O4,0))</f>
        <v>9434</v>
      </c>
      <c r="Q4" s="7">
        <f>SUM(Q5)</f>
        <v>87853</v>
      </c>
      <c r="R4" s="8">
        <f>SUM(R5)</f>
        <v>5.17</v>
      </c>
      <c r="S4" s="7">
        <f>IF(R4=0,"",ROUND(Q4/R4,0))</f>
        <v>17004</v>
      </c>
      <c r="T4" s="7">
        <f>SUM(T5)</f>
        <v>0</v>
      </c>
      <c r="U4" s="8">
        <f>SUM(U5)</f>
        <v>0</v>
      </c>
      <c r="V4" s="7">
        <f>IF(U4=0,"",ROUND(T4/U4,0))</f>
        <v>0</v>
      </c>
      <c r="W4" s="7">
        <f>SUM(W5)</f>
        <v>263257</v>
      </c>
      <c r="X4" s="8">
        <f>SUM(X5)</f>
        <v>31</v>
      </c>
      <c r="Y4" s="7">
        <f>IF(X4=0,"",ROUND(W4/X4,0))</f>
        <v>8492</v>
      </c>
    </row>
    <row r="5" spans="1:25" x14ac:dyDescent="0.25" outlineLevel="2">
      <c r="A5" s="9" t="s">
        <v>13</v>
      </c>
      <c r="B5" s="9"/>
      <c r="C5" s="9"/>
      <c r="D5" s="9"/>
      <c r="E5" s="7">
        <v>44847</v>
      </c>
      <c r="F5" s="8">
        <v>6.58</v>
      </c>
      <c r="G5" s="7">
        <v>6812</v>
      </c>
      <c r="H5" s="7">
        <v>29400</v>
      </c>
      <c r="I5" s="8">
        <v>6.33</v>
      </c>
      <c r="J5" s="7">
        <v>4642</v>
      </c>
      <c r="K5" s="7">
        <v>39835</v>
      </c>
      <c r="L5" s="8">
        <v>6.42</v>
      </c>
      <c r="M5" s="7">
        <v>6208</v>
      </c>
      <c r="N5" s="7">
        <v>61322</v>
      </c>
      <c r="O5" s="8">
        <v>6.5</v>
      </c>
      <c r="P5" s="7">
        <v>9434</v>
      </c>
      <c r="Q5" s="7">
        <v>87853</v>
      </c>
      <c r="R5" s="8">
        <v>5.17</v>
      </c>
      <c r="S5" s="7">
        <v>17004</v>
      </c>
      <c r="T5" s="7"/>
      <c r="U5" s="8"/>
      <c r="V5" s="7"/>
      <c r="W5" s="7">
        <v>263257</v>
      </c>
      <c r="X5" s="8">
        <v>31</v>
      </c>
      <c r="Y5" s="7">
        <v>8492</v>
      </c>
    </row>
    <row r="6" spans="1:25" x14ac:dyDescent="0.25" outlineLevel="2">
      <c r="A6" s="9" t="s">
        <v>14</v>
      </c>
      <c r="B6" s="9"/>
      <c r="C6" s="9"/>
      <c r="D6" s="9"/>
      <c r="E6" s="10" t="s">
        <v>15</v>
      </c>
      <c r="F6" s="10"/>
      <c r="G6" s="10"/>
      <c r="H6" s="10" t="s">
        <v>16</v>
      </c>
      <c r="I6" s="10"/>
      <c r="J6" s="10"/>
      <c r="K6" s="10" t="s">
        <v>17</v>
      </c>
      <c r="L6" s="10"/>
      <c r="M6" s="10"/>
      <c r="N6" s="10" t="s">
        <v>18</v>
      </c>
      <c r="O6" s="10"/>
      <c r="P6" s="10"/>
      <c r="Q6" s="10" t="s">
        <v>19</v>
      </c>
      <c r="R6" s="10"/>
      <c r="S6" s="10"/>
      <c r="W6" s="10" t="s">
        <v>20</v>
      </c>
      <c r="X6" s="10"/>
      <c r="Y6" s="10"/>
    </row>
    <row r="7" spans="1:25" x14ac:dyDescent="0.25" outlineLevel="3" collapsed="1">
      <c r="A7" s="11" t="s">
        <v>21</v>
      </c>
      <c r="B7" s="11"/>
      <c r="C7" s="11"/>
      <c r="D7" s="11"/>
      <c r="E7" s="7">
        <v>44847</v>
      </c>
      <c r="F7" s="8">
        <v>6.58</v>
      </c>
      <c r="G7" s="7">
        <v>6812</v>
      </c>
      <c r="H7" s="7"/>
      <c r="I7" s="8"/>
      <c r="J7" s="7"/>
      <c r="K7" s="7"/>
      <c r="L7" s="8"/>
      <c r="M7" s="7"/>
      <c r="N7" s="7"/>
      <c r="O7" s="8"/>
      <c r="P7" s="7"/>
      <c r="Q7" s="7"/>
      <c r="R7" s="8"/>
      <c r="S7" s="7"/>
      <c r="T7" s="7"/>
      <c r="U7" s="8"/>
      <c r="V7" s="7"/>
      <c r="W7" s="7">
        <v>44847</v>
      </c>
      <c r="X7" s="8">
        <v>6.58</v>
      </c>
      <c r="Y7" s="7">
        <v>6812</v>
      </c>
    </row>
    <row r="8" spans="1:25" x14ac:dyDescent="0.25" outlineLevel="3" collapsed="1">
      <c r="A8" s="11" t="s">
        <v>22</v>
      </c>
      <c r="B8" s="11"/>
      <c r="C8" s="11"/>
      <c r="D8" s="11"/>
      <c r="E8" s="7"/>
      <c r="F8" s="8"/>
      <c r="G8" s="7"/>
      <c r="H8" s="7"/>
      <c r="I8" s="8"/>
      <c r="J8" s="7"/>
      <c r="K8" s="7">
        <v>39835</v>
      </c>
      <c r="L8" s="8">
        <v>6.42</v>
      </c>
      <c r="M8" s="7">
        <v>6208</v>
      </c>
      <c r="N8" s="7"/>
      <c r="O8" s="8"/>
      <c r="P8" s="7"/>
      <c r="Q8" s="7"/>
      <c r="R8" s="8"/>
      <c r="S8" s="7"/>
      <c r="T8" s="7"/>
      <c r="U8" s="8"/>
      <c r="V8" s="7"/>
      <c r="W8" s="7">
        <v>39835</v>
      </c>
      <c r="X8" s="8">
        <v>6.42</v>
      </c>
      <c r="Y8" s="7">
        <v>6208</v>
      </c>
    </row>
    <row r="9" spans="1:25" x14ac:dyDescent="0.25" outlineLevel="3" collapsed="1">
      <c r="A9" s="11" t="s">
        <v>23</v>
      </c>
      <c r="B9" s="11"/>
      <c r="C9" s="11"/>
      <c r="D9" s="11"/>
      <c r="E9" s="7"/>
      <c r="F9" s="8"/>
      <c r="G9" s="7"/>
      <c r="H9" s="7"/>
      <c r="I9" s="8"/>
      <c r="J9" s="7"/>
      <c r="K9" s="7"/>
      <c r="L9" s="8"/>
      <c r="M9" s="7"/>
      <c r="N9" s="7"/>
      <c r="O9" s="8"/>
      <c r="P9" s="7"/>
      <c r="Q9" s="7">
        <v>42095</v>
      </c>
      <c r="R9" s="8">
        <v>0.33</v>
      </c>
      <c r="S9" s="7">
        <v>126285</v>
      </c>
      <c r="T9" s="7"/>
      <c r="U9" s="8"/>
      <c r="V9" s="7"/>
      <c r="W9" s="7">
        <v>42095</v>
      </c>
      <c r="X9" s="8">
        <v>0.33</v>
      </c>
      <c r="Y9" s="7">
        <v>126285</v>
      </c>
    </row>
    <row r="10" spans="1:25" x14ac:dyDescent="0.25" outlineLevel="3" collapsed="1">
      <c r="A10" s="11" t="s">
        <v>24</v>
      </c>
      <c r="B10" s="11"/>
      <c r="C10" s="11"/>
      <c r="D10" s="11"/>
      <c r="E10" s="7"/>
      <c r="F10" s="8"/>
      <c r="G10" s="7"/>
      <c r="H10" s="7"/>
      <c r="I10" s="8"/>
      <c r="J10" s="7"/>
      <c r="K10" s="7"/>
      <c r="L10" s="8"/>
      <c r="M10" s="7"/>
      <c r="N10" s="7">
        <v>61322</v>
      </c>
      <c r="O10" s="8">
        <v>6.5</v>
      </c>
      <c r="P10" s="7">
        <v>9434</v>
      </c>
      <c r="Q10" s="7"/>
      <c r="R10" s="8"/>
      <c r="S10" s="7"/>
      <c r="T10" s="7"/>
      <c r="U10" s="8"/>
      <c r="V10" s="7"/>
      <c r="W10" s="7">
        <v>61322</v>
      </c>
      <c r="X10" s="8">
        <v>6.5</v>
      </c>
      <c r="Y10" s="7">
        <v>9434</v>
      </c>
    </row>
    <row r="11" spans="1:25" x14ac:dyDescent="0.25" outlineLevel="3" collapsed="1">
      <c r="A11" s="11" t="s">
        <v>25</v>
      </c>
      <c r="B11" s="11"/>
      <c r="C11" s="11"/>
      <c r="D11" s="11"/>
      <c r="E11" s="7"/>
      <c r="F11" s="8"/>
      <c r="G11" s="7"/>
      <c r="H11" s="7"/>
      <c r="I11" s="8"/>
      <c r="J11" s="7"/>
      <c r="K11" s="7"/>
      <c r="L11" s="8"/>
      <c r="M11" s="7"/>
      <c r="N11" s="7"/>
      <c r="O11" s="8"/>
      <c r="P11" s="7"/>
      <c r="Q11" s="7">
        <v>45758</v>
      </c>
      <c r="R11" s="8">
        <v>4.83</v>
      </c>
      <c r="S11" s="7">
        <v>9467</v>
      </c>
      <c r="T11" s="7"/>
      <c r="U11" s="8"/>
      <c r="V11" s="7"/>
      <c r="W11" s="7">
        <v>45758</v>
      </c>
      <c r="X11" s="8">
        <v>4.83</v>
      </c>
      <c r="Y11" s="7">
        <v>9467</v>
      </c>
    </row>
    <row r="12" spans="1:25" x14ac:dyDescent="0.25" outlineLevel="3" collapsed="1">
      <c r="A12" s="11" t="s">
        <v>26</v>
      </c>
      <c r="B12" s="11"/>
      <c r="C12" s="11"/>
      <c r="D12" s="11"/>
      <c r="E12" s="7"/>
      <c r="F12" s="8"/>
      <c r="G12" s="7"/>
      <c r="H12" s="7">
        <v>14700</v>
      </c>
      <c r="I12" s="8">
        <v>3.75</v>
      </c>
      <c r="J12" s="7">
        <v>3920</v>
      </c>
      <c r="K12" s="7"/>
      <c r="L12" s="8"/>
      <c r="M12" s="7"/>
      <c r="N12" s="7"/>
      <c r="O12" s="8"/>
      <c r="P12" s="7"/>
      <c r="Q12" s="7"/>
      <c r="R12" s="8"/>
      <c r="S12" s="7"/>
      <c r="T12" s="7"/>
      <c r="U12" s="8"/>
      <c r="V12" s="7"/>
      <c r="W12" s="7">
        <v>14700</v>
      </c>
      <c r="X12" s="8">
        <v>3.75</v>
      </c>
      <c r="Y12" s="7">
        <v>3920</v>
      </c>
    </row>
    <row r="13" spans="1:25" x14ac:dyDescent="0.25" outlineLevel="3" collapsed="1">
      <c r="A13" s="11" t="s">
        <v>27</v>
      </c>
      <c r="B13" s="11"/>
      <c r="C13" s="11"/>
      <c r="D13" s="11"/>
      <c r="E13" s="7"/>
      <c r="F13" s="8"/>
      <c r="G13" s="7"/>
      <c r="H13" s="7">
        <v>14700</v>
      </c>
      <c r="I13" s="8">
        <v>2.58</v>
      </c>
      <c r="J13" s="7">
        <v>5690</v>
      </c>
      <c r="K13" s="7"/>
      <c r="L13" s="8"/>
      <c r="M13" s="7"/>
      <c r="N13" s="7"/>
      <c r="O13" s="8"/>
      <c r="P13" s="7"/>
      <c r="Q13" s="7"/>
      <c r="R13" s="8"/>
      <c r="S13" s="7"/>
      <c r="T13" s="7"/>
      <c r="U13" s="8"/>
      <c r="V13" s="7"/>
      <c r="W13" s="7">
        <v>14700</v>
      </c>
      <c r="X13" s="8">
        <v>2.58</v>
      </c>
      <c r="Y13" s="7">
        <v>5690</v>
      </c>
    </row>
    <row r="14" spans="1:25" x14ac:dyDescent="0.25" outlineLevel="1">
      <c r="A14" s="6" t="s">
        <v>28</v>
      </c>
      <c r="B14" s="6"/>
      <c r="C14" s="6"/>
      <c r="D14" s="6"/>
      <c r="E14" s="7">
        <f>SUM(E15)</f>
        <v>53192</v>
      </c>
      <c r="F14" s="8">
        <f>SUM(F15)</f>
        <v>4.83</v>
      </c>
      <c r="G14" s="7">
        <f>IF(F14=0,"",ROUND(E14/F14,0))</f>
        <v>11005</v>
      </c>
      <c r="H14" s="7">
        <f>SUM(H15)</f>
        <v>44100</v>
      </c>
      <c r="I14" s="8">
        <f>SUM(I15)</f>
        <v>6.33</v>
      </c>
      <c r="J14" s="7">
        <f>IF(I14=0,"",ROUND(H14/I14,0))</f>
        <v>6963</v>
      </c>
      <c r="K14" s="7">
        <f>SUM(K15)</f>
        <v>55904</v>
      </c>
      <c r="L14" s="8">
        <f>SUM(L15)</f>
        <v>7.5</v>
      </c>
      <c r="M14" s="7">
        <f>IF(L14=0,"",ROUND(K14/L14,0))</f>
        <v>7454</v>
      </c>
      <c r="N14" s="7">
        <f>SUM(N15)</f>
        <v>67541</v>
      </c>
      <c r="O14" s="8">
        <f>SUM(O15)</f>
        <v>7.83</v>
      </c>
      <c r="P14" s="7">
        <f>IF(O14=0,"",ROUND(N14/O14,0))</f>
        <v>8622</v>
      </c>
      <c r="Q14" s="7">
        <f>SUM(Q15)</f>
        <v>44100</v>
      </c>
      <c r="R14" s="8">
        <f>SUM(R15)</f>
        <v>7.42</v>
      </c>
      <c r="S14" s="7">
        <f>IF(R14=0,"",ROUND(Q14/R14,0))</f>
        <v>5946</v>
      </c>
      <c r="T14" s="7">
        <f>SUM(T15)</f>
        <v>44100</v>
      </c>
      <c r="U14" s="8">
        <f>SUM(U15)</f>
        <v>8.33</v>
      </c>
      <c r="V14" s="7">
        <f>IF(U14=0,"",ROUND(T14/U14,0))</f>
        <v>5292</v>
      </c>
      <c r="W14" s="7">
        <f>SUM(W15)</f>
        <v>308937</v>
      </c>
      <c r="X14" s="8">
        <f>SUM(X15)</f>
        <v>42.25</v>
      </c>
      <c r="Y14" s="7">
        <f>IF(X14=0,"",ROUND(W14/X14,0))</f>
        <v>7312</v>
      </c>
    </row>
    <row r="15" spans="1:25" x14ac:dyDescent="0.25" outlineLevel="2">
      <c r="A15" s="9" t="s">
        <v>29</v>
      </c>
      <c r="B15" s="9"/>
      <c r="C15" s="9"/>
      <c r="D15" s="9"/>
      <c r="E15" s="7">
        <v>53192</v>
      </c>
      <c r="F15" s="8">
        <v>4.83</v>
      </c>
      <c r="G15" s="7">
        <v>11005</v>
      </c>
      <c r="H15" s="7">
        <v>44100</v>
      </c>
      <c r="I15" s="8">
        <v>6.33</v>
      </c>
      <c r="J15" s="7">
        <v>6963</v>
      </c>
      <c r="K15" s="7">
        <v>55904</v>
      </c>
      <c r="L15" s="8">
        <v>7.5</v>
      </c>
      <c r="M15" s="7">
        <v>7454</v>
      </c>
      <c r="N15" s="7">
        <v>67541</v>
      </c>
      <c r="O15" s="8">
        <v>7.83</v>
      </c>
      <c r="P15" s="7">
        <v>8622</v>
      </c>
      <c r="Q15" s="7">
        <v>44100</v>
      </c>
      <c r="R15" s="8">
        <v>7.42</v>
      </c>
      <c r="S15" s="7">
        <v>5946</v>
      </c>
      <c r="T15" s="7">
        <v>44100</v>
      </c>
      <c r="U15" s="8">
        <v>8.33</v>
      </c>
      <c r="V15" s="7">
        <v>5292</v>
      </c>
      <c r="W15" s="7">
        <v>308937</v>
      </c>
      <c r="X15" s="8">
        <v>42.25</v>
      </c>
      <c r="Y15" s="7">
        <v>7312</v>
      </c>
    </row>
    <row r="16" spans="1:25" x14ac:dyDescent="0.25" outlineLevel="2">
      <c r="A16" s="9" t="s">
        <v>14</v>
      </c>
      <c r="B16" s="9"/>
      <c r="C16" s="9"/>
      <c r="D16" s="9"/>
      <c r="E16" s="10" t="s">
        <v>30</v>
      </c>
      <c r="F16" s="10"/>
      <c r="G16" s="10"/>
      <c r="H16" s="10" t="s">
        <v>31</v>
      </c>
      <c r="I16" s="10"/>
      <c r="J16" s="10"/>
      <c r="K16" s="10" t="s">
        <v>32</v>
      </c>
      <c r="L16" s="10"/>
      <c r="M16" s="10"/>
      <c r="N16" s="10" t="s">
        <v>33</v>
      </c>
      <c r="O16" s="10"/>
      <c r="P16" s="10"/>
      <c r="Q16" s="10" t="s">
        <v>34</v>
      </c>
      <c r="R16" s="10"/>
      <c r="S16" s="10"/>
      <c r="T16" s="10" t="s">
        <v>35</v>
      </c>
      <c r="U16" s="10"/>
      <c r="V16" s="10"/>
      <c r="W16" s="10" t="s">
        <v>36</v>
      </c>
      <c r="X16" s="10"/>
      <c r="Y16" s="10"/>
    </row>
    <row r="17" spans="1:25" x14ac:dyDescent="0.25" outlineLevel="3" collapsed="1">
      <c r="A17" s="11" t="s">
        <v>37</v>
      </c>
      <c r="B17" s="11"/>
      <c r="C17" s="11"/>
      <c r="D17" s="11"/>
      <c r="E17" s="7"/>
      <c r="F17" s="8"/>
      <c r="G17" s="7"/>
      <c r="H17" s="7"/>
      <c r="I17" s="8"/>
      <c r="J17" s="7"/>
      <c r="K17" s="7">
        <v>55904</v>
      </c>
      <c r="L17" s="8">
        <v>7</v>
      </c>
      <c r="M17" s="7">
        <v>7986</v>
      </c>
      <c r="N17" s="7"/>
      <c r="O17" s="8"/>
      <c r="P17" s="7"/>
      <c r="Q17" s="7"/>
      <c r="R17" s="8"/>
      <c r="S17" s="7"/>
      <c r="T17" s="7"/>
      <c r="U17" s="8"/>
      <c r="V17" s="7"/>
      <c r="W17" s="7">
        <v>55904</v>
      </c>
      <c r="X17" s="8">
        <v>7</v>
      </c>
      <c r="Y17" s="7">
        <v>7986</v>
      </c>
    </row>
    <row r="18" spans="1:25" x14ac:dyDescent="0.25" outlineLevel="3" collapsed="1">
      <c r="A18" s="11" t="s">
        <v>38</v>
      </c>
      <c r="B18" s="11"/>
      <c r="C18" s="11"/>
      <c r="D18" s="11"/>
      <c r="E18" s="7"/>
      <c r="F18" s="8"/>
      <c r="G18" s="7"/>
      <c r="H18" s="7"/>
      <c r="I18" s="8"/>
      <c r="J18" s="7"/>
      <c r="K18" s="7"/>
      <c r="L18" s="8">
        <v>0.5</v>
      </c>
      <c r="M18" s="7"/>
      <c r="N18" s="7"/>
      <c r="O18" s="8"/>
      <c r="P18" s="7"/>
      <c r="Q18" s="7"/>
      <c r="R18" s="8"/>
      <c r="S18" s="7"/>
      <c r="T18" s="7"/>
      <c r="U18" s="8"/>
      <c r="V18" s="7"/>
      <c r="W18" s="7"/>
      <c r="X18" s="8">
        <v>0.5</v>
      </c>
      <c r="Y18" s="7"/>
    </row>
    <row r="19" spans="1:25" x14ac:dyDescent="0.25" outlineLevel="3" collapsed="1">
      <c r="A19" s="11" t="s">
        <v>39</v>
      </c>
      <c r="B19" s="11"/>
      <c r="C19" s="11"/>
      <c r="D19" s="11"/>
      <c r="E19" s="7"/>
      <c r="F19" s="8"/>
      <c r="G19" s="7"/>
      <c r="H19" s="7"/>
      <c r="I19" s="8"/>
      <c r="J19" s="7"/>
      <c r="K19" s="7"/>
      <c r="L19" s="8"/>
      <c r="M19" s="7"/>
      <c r="N19" s="7">
        <v>67541</v>
      </c>
      <c r="O19" s="8">
        <v>7.83</v>
      </c>
      <c r="P19" s="7">
        <v>8622</v>
      </c>
      <c r="Q19" s="7"/>
      <c r="R19" s="8"/>
      <c r="S19" s="7"/>
      <c r="T19" s="7"/>
      <c r="U19" s="8"/>
      <c r="V19" s="7"/>
      <c r="W19" s="7">
        <v>67541</v>
      </c>
      <c r="X19" s="8">
        <v>7.83</v>
      </c>
      <c r="Y19" s="7">
        <v>8622</v>
      </c>
    </row>
    <row r="20" spans="1:25" x14ac:dyDescent="0.25" outlineLevel="3" collapsed="1">
      <c r="A20" s="11" t="s">
        <v>40</v>
      </c>
      <c r="B20" s="11"/>
      <c r="C20" s="11"/>
      <c r="D20" s="11"/>
      <c r="E20" s="7"/>
      <c r="F20" s="8"/>
      <c r="G20" s="7"/>
      <c r="H20" s="7"/>
      <c r="I20" s="8"/>
      <c r="J20" s="7"/>
      <c r="K20" s="7"/>
      <c r="L20" s="8"/>
      <c r="M20" s="7"/>
      <c r="N20" s="7"/>
      <c r="O20" s="8"/>
      <c r="P20" s="7"/>
      <c r="Q20" s="7"/>
      <c r="R20" s="8"/>
      <c r="S20" s="7"/>
      <c r="T20" s="7">
        <v>14700</v>
      </c>
      <c r="U20" s="8">
        <v>3.17</v>
      </c>
      <c r="V20" s="7">
        <v>4642</v>
      </c>
      <c r="W20" s="7">
        <v>14700</v>
      </c>
      <c r="X20" s="8">
        <v>3.17</v>
      </c>
      <c r="Y20" s="7">
        <v>4642</v>
      </c>
    </row>
    <row r="21" spans="1:25" x14ac:dyDescent="0.25" outlineLevel="3" collapsed="1">
      <c r="A21" s="11" t="s">
        <v>41</v>
      </c>
      <c r="B21" s="11"/>
      <c r="C21" s="11"/>
      <c r="D21" s="11"/>
      <c r="E21" s="7"/>
      <c r="F21" s="8"/>
      <c r="G21" s="7"/>
      <c r="H21" s="7"/>
      <c r="I21" s="8"/>
      <c r="J21" s="7"/>
      <c r="K21" s="7"/>
      <c r="L21" s="8"/>
      <c r="M21" s="7"/>
      <c r="N21" s="7"/>
      <c r="O21" s="8"/>
      <c r="P21" s="7"/>
      <c r="Q21" s="7"/>
      <c r="R21" s="8"/>
      <c r="S21" s="7"/>
      <c r="T21" s="7">
        <v>14700</v>
      </c>
      <c r="U21" s="8">
        <v>1.83</v>
      </c>
      <c r="V21" s="7">
        <v>8018</v>
      </c>
      <c r="W21" s="7">
        <v>14700</v>
      </c>
      <c r="X21" s="8">
        <v>1.83</v>
      </c>
      <c r="Y21" s="7">
        <v>8018</v>
      </c>
    </row>
    <row r="22" spans="1:25" x14ac:dyDescent="0.25" outlineLevel="3" collapsed="1">
      <c r="A22" s="11" t="s">
        <v>42</v>
      </c>
      <c r="B22" s="11"/>
      <c r="C22" s="11"/>
      <c r="D22" s="11"/>
      <c r="E22" s="7"/>
      <c r="F22" s="8"/>
      <c r="G22" s="7"/>
      <c r="H22" s="7"/>
      <c r="I22" s="8"/>
      <c r="J22" s="7"/>
      <c r="K22" s="7"/>
      <c r="L22" s="8"/>
      <c r="M22" s="7"/>
      <c r="N22" s="7"/>
      <c r="O22" s="8"/>
      <c r="P22" s="7"/>
      <c r="Q22" s="7"/>
      <c r="R22" s="8"/>
      <c r="S22" s="7"/>
      <c r="T22" s="7">
        <v>14700</v>
      </c>
      <c r="U22" s="8">
        <v>3.33</v>
      </c>
      <c r="V22" s="7">
        <v>4410</v>
      </c>
      <c r="W22" s="7">
        <v>14700</v>
      </c>
      <c r="X22" s="8">
        <v>3.33</v>
      </c>
      <c r="Y22" s="7">
        <v>4410</v>
      </c>
    </row>
    <row r="23" spans="1:25" x14ac:dyDescent="0.25" outlineLevel="3" collapsed="1">
      <c r="A23" s="11" t="s">
        <v>43</v>
      </c>
      <c r="B23" s="11"/>
      <c r="C23" s="11"/>
      <c r="D23" s="11"/>
      <c r="E23" s="7">
        <v>45712</v>
      </c>
      <c r="F23" s="8">
        <v>4.33</v>
      </c>
      <c r="G23" s="7">
        <v>10549</v>
      </c>
      <c r="H23" s="7"/>
      <c r="I23" s="8"/>
      <c r="J23" s="7"/>
      <c r="K23" s="7"/>
      <c r="L23" s="8"/>
      <c r="M23" s="7"/>
      <c r="N23" s="7"/>
      <c r="O23" s="8"/>
      <c r="P23" s="7"/>
      <c r="Q23" s="7"/>
      <c r="R23" s="8"/>
      <c r="S23" s="7"/>
      <c r="T23" s="7"/>
      <c r="U23" s="8"/>
      <c r="V23" s="7"/>
      <c r="W23" s="7">
        <v>45712</v>
      </c>
      <c r="X23" s="8">
        <v>4.33</v>
      </c>
      <c r="Y23" s="7">
        <v>10549</v>
      </c>
    </row>
    <row r="24" spans="1:25" x14ac:dyDescent="0.25" outlineLevel="3" collapsed="1">
      <c r="A24" s="11" t="s">
        <v>44</v>
      </c>
      <c r="B24" s="11"/>
      <c r="C24" s="11"/>
      <c r="D24" s="11"/>
      <c r="E24" s="7">
        <v>7480</v>
      </c>
      <c r="F24" s="8">
        <v>0.5</v>
      </c>
      <c r="G24" s="7">
        <v>14960</v>
      </c>
      <c r="H24" s="7"/>
      <c r="I24" s="8"/>
      <c r="J24" s="7"/>
      <c r="K24" s="7"/>
      <c r="L24" s="8"/>
      <c r="M24" s="7"/>
      <c r="N24" s="7"/>
      <c r="O24" s="8"/>
      <c r="P24" s="7"/>
      <c r="Q24" s="7"/>
      <c r="R24" s="8"/>
      <c r="S24" s="7"/>
      <c r="T24" s="7"/>
      <c r="U24" s="8"/>
      <c r="V24" s="7"/>
      <c r="W24" s="7">
        <v>7480</v>
      </c>
      <c r="X24" s="8">
        <v>0.5</v>
      </c>
      <c r="Y24" s="7">
        <v>14960</v>
      </c>
    </row>
    <row r="25" spans="1:25" x14ac:dyDescent="0.25" outlineLevel="3" collapsed="1">
      <c r="A25" s="11" t="s">
        <v>45</v>
      </c>
      <c r="B25" s="11"/>
      <c r="C25" s="11"/>
      <c r="D25" s="11"/>
      <c r="E25" s="7"/>
      <c r="F25" s="8"/>
      <c r="G25" s="7"/>
      <c r="H25" s="7"/>
      <c r="I25" s="8"/>
      <c r="J25" s="7"/>
      <c r="K25" s="7"/>
      <c r="L25" s="8"/>
      <c r="M25" s="7"/>
      <c r="N25" s="7"/>
      <c r="O25" s="8"/>
      <c r="P25" s="7"/>
      <c r="Q25" s="7">
        <v>14700</v>
      </c>
      <c r="R25" s="8">
        <v>3.42</v>
      </c>
      <c r="S25" s="7">
        <v>4302</v>
      </c>
      <c r="T25" s="7"/>
      <c r="U25" s="8"/>
      <c r="V25" s="7"/>
      <c r="W25" s="7">
        <v>14700</v>
      </c>
      <c r="X25" s="8">
        <v>3.42</v>
      </c>
      <c r="Y25" s="7">
        <v>4302</v>
      </c>
    </row>
    <row r="26" spans="1:25" x14ac:dyDescent="0.25" outlineLevel="3" collapsed="1">
      <c r="A26" s="11" t="s">
        <v>46</v>
      </c>
      <c r="B26" s="11"/>
      <c r="C26" s="11"/>
      <c r="D26" s="11"/>
      <c r="E26" s="7"/>
      <c r="F26" s="8"/>
      <c r="G26" s="7"/>
      <c r="H26" s="7"/>
      <c r="I26" s="8"/>
      <c r="J26" s="7"/>
      <c r="K26" s="7"/>
      <c r="L26" s="8"/>
      <c r="M26" s="7"/>
      <c r="N26" s="7"/>
      <c r="O26" s="8"/>
      <c r="P26" s="7"/>
      <c r="Q26" s="7">
        <v>14700</v>
      </c>
      <c r="R26" s="8">
        <v>1.33</v>
      </c>
      <c r="S26" s="7">
        <v>11025</v>
      </c>
      <c r="T26" s="7"/>
      <c r="U26" s="8"/>
      <c r="V26" s="7"/>
      <c r="W26" s="7">
        <v>14700</v>
      </c>
      <c r="X26" s="8">
        <v>1.33</v>
      </c>
      <c r="Y26" s="7">
        <v>11025</v>
      </c>
    </row>
    <row r="27" spans="1:25" x14ac:dyDescent="0.25" outlineLevel="3" collapsed="1">
      <c r="A27" s="11" t="s">
        <v>47</v>
      </c>
      <c r="B27" s="11"/>
      <c r="C27" s="11"/>
      <c r="D27" s="11"/>
      <c r="E27" s="7"/>
      <c r="F27" s="8"/>
      <c r="G27" s="7"/>
      <c r="H27" s="7"/>
      <c r="I27" s="8"/>
      <c r="J27" s="7"/>
      <c r="K27" s="7"/>
      <c r="L27" s="8"/>
      <c r="M27" s="7"/>
      <c r="N27" s="7"/>
      <c r="O27" s="8"/>
      <c r="P27" s="7"/>
      <c r="Q27" s="7">
        <v>14700</v>
      </c>
      <c r="R27" s="8">
        <v>2.67</v>
      </c>
      <c r="S27" s="7">
        <v>5513</v>
      </c>
      <c r="T27" s="7"/>
      <c r="U27" s="8"/>
      <c r="V27" s="7"/>
      <c r="W27" s="7">
        <v>14700</v>
      </c>
      <c r="X27" s="8">
        <v>2.67</v>
      </c>
      <c r="Y27" s="7">
        <v>5513</v>
      </c>
    </row>
    <row r="28" spans="1:25" x14ac:dyDescent="0.25" outlineLevel="3" collapsed="1">
      <c r="A28" s="11" t="s">
        <v>48</v>
      </c>
      <c r="B28" s="11"/>
      <c r="C28" s="11"/>
      <c r="D28" s="11"/>
      <c r="E28" s="7"/>
      <c r="F28" s="8"/>
      <c r="G28" s="7"/>
      <c r="H28" s="7">
        <v>14700</v>
      </c>
      <c r="I28" s="8">
        <v>2.17</v>
      </c>
      <c r="J28" s="7">
        <v>6785</v>
      </c>
      <c r="K28" s="7"/>
      <c r="L28" s="8"/>
      <c r="M28" s="7"/>
      <c r="N28" s="7"/>
      <c r="O28" s="8"/>
      <c r="P28" s="7"/>
      <c r="Q28" s="7"/>
      <c r="R28" s="8"/>
      <c r="S28" s="7"/>
      <c r="T28" s="7"/>
      <c r="U28" s="8"/>
      <c r="V28" s="7"/>
      <c r="W28" s="7">
        <v>14700</v>
      </c>
      <c r="X28" s="8">
        <v>2.17</v>
      </c>
      <c r="Y28" s="7">
        <v>6785</v>
      </c>
    </row>
    <row r="29" spans="1:25" x14ac:dyDescent="0.25" outlineLevel="3" collapsed="1">
      <c r="A29" s="11" t="s">
        <v>49</v>
      </c>
      <c r="B29" s="11"/>
      <c r="C29" s="11"/>
      <c r="D29" s="11"/>
      <c r="E29" s="7"/>
      <c r="F29" s="8"/>
      <c r="G29" s="7"/>
      <c r="H29" s="7">
        <v>14700</v>
      </c>
      <c r="I29" s="8">
        <v>2.83</v>
      </c>
      <c r="J29" s="7">
        <v>5188</v>
      </c>
      <c r="K29" s="7"/>
      <c r="L29" s="8"/>
      <c r="M29" s="7"/>
      <c r="N29" s="7"/>
      <c r="O29" s="8"/>
      <c r="P29" s="7"/>
      <c r="Q29" s="7"/>
      <c r="R29" s="8"/>
      <c r="S29" s="7"/>
      <c r="T29" s="7"/>
      <c r="U29" s="8"/>
      <c r="V29" s="7"/>
      <c r="W29" s="7">
        <v>14700</v>
      </c>
      <c r="X29" s="8">
        <v>2.83</v>
      </c>
      <c r="Y29" s="7">
        <v>5188</v>
      </c>
    </row>
    <row r="30" spans="1:25" x14ac:dyDescent="0.25" outlineLevel="3" collapsed="1">
      <c r="A30" s="11" t="s">
        <v>50</v>
      </c>
      <c r="B30" s="11"/>
      <c r="C30" s="11"/>
      <c r="D30" s="11"/>
      <c r="E30" s="7"/>
      <c r="F30" s="8"/>
      <c r="G30" s="7"/>
      <c r="H30" s="7">
        <v>14700</v>
      </c>
      <c r="I30" s="8">
        <v>1.33</v>
      </c>
      <c r="J30" s="7">
        <v>11025</v>
      </c>
      <c r="K30" s="7"/>
      <c r="L30" s="8"/>
      <c r="M30" s="7"/>
      <c r="N30" s="7"/>
      <c r="O30" s="8"/>
      <c r="P30" s="7"/>
      <c r="Q30" s="7"/>
      <c r="R30" s="8"/>
      <c r="S30" s="7"/>
      <c r="T30" s="7"/>
      <c r="U30" s="8"/>
      <c r="V30" s="7"/>
      <c r="W30" s="7">
        <v>14700</v>
      </c>
      <c r="X30" s="8">
        <v>1.33</v>
      </c>
      <c r="Y30" s="7">
        <v>11025</v>
      </c>
    </row>
    <row r="31" spans="1:25" x14ac:dyDescent="0.25" outlineLevel="1">
      <c r="A31" s="6" t="s">
        <v>51</v>
      </c>
      <c r="B31" s="6"/>
      <c r="C31" s="6"/>
      <c r="D31" s="6"/>
      <c r="E31" s="7">
        <f>SUM(E32)</f>
        <v>54450</v>
      </c>
      <c r="F31" s="8">
        <f>SUM(F32)</f>
        <v>9.58</v>
      </c>
      <c r="G31" s="7">
        <f>IF(F31=0,"",ROUND(E31/F31,0))</f>
        <v>5682</v>
      </c>
      <c r="H31" s="7">
        <f>SUM(H32)</f>
        <v>36750</v>
      </c>
      <c r="I31" s="8">
        <f>SUM(I32)</f>
        <v>7.92</v>
      </c>
      <c r="J31" s="7">
        <f>IF(I31=0,"",ROUND(H31/I31,0))</f>
        <v>4642</v>
      </c>
      <c r="K31" s="7">
        <f>SUM(K32)</f>
        <v>7350</v>
      </c>
      <c r="L31" s="8">
        <f>SUM(L32)</f>
        <v>10.83</v>
      </c>
      <c r="M31" s="7">
        <f>IF(L31=0,"",ROUND(K31/L31,0))</f>
        <v>678</v>
      </c>
      <c r="N31" s="7">
        <f>SUM(N32)</f>
        <v>40425</v>
      </c>
      <c r="O31" s="8">
        <f>SUM(O32)</f>
        <v>11.92</v>
      </c>
      <c r="P31" s="7">
        <f>IF(O31=0,"",ROUND(N31/O31,0))</f>
        <v>3392</v>
      </c>
      <c r="Q31" s="7">
        <f>SUM(Q32)</f>
        <v>50425</v>
      </c>
      <c r="R31" s="8">
        <f>SUM(R32)</f>
        <v>9.33</v>
      </c>
      <c r="S31" s="7">
        <f>IF(R31=0,"",ROUND(Q31/R31,0))</f>
        <v>5403</v>
      </c>
      <c r="T31" s="7">
        <f>SUM(T32)</f>
        <v>0</v>
      </c>
      <c r="U31" s="8">
        <f>SUM(U32)</f>
        <v>0</v>
      </c>
      <c r="V31" s="7">
        <f>IF(U31=0,"",ROUND(T31/U31,0))</f>
        <v>0</v>
      </c>
      <c r="W31" s="7">
        <f>SUM(W32)</f>
        <v>189400</v>
      </c>
      <c r="X31" s="8">
        <f>SUM(X32)</f>
        <v>49.58</v>
      </c>
      <c r="Y31" s="7">
        <f>IF(X31=0,"",ROUND(W31/X31,0))</f>
        <v>3820</v>
      </c>
    </row>
    <row r="32" spans="1:25" x14ac:dyDescent="0.25" outlineLevel="2">
      <c r="A32" s="9" t="s">
        <v>52</v>
      </c>
      <c r="B32" s="9"/>
      <c r="C32" s="9"/>
      <c r="D32" s="9"/>
      <c r="E32" s="7">
        <v>54450</v>
      </c>
      <c r="F32" s="8">
        <v>9.58</v>
      </c>
      <c r="G32" s="7">
        <v>5682</v>
      </c>
      <c r="H32" s="7">
        <v>36750</v>
      </c>
      <c r="I32" s="8">
        <v>7.92</v>
      </c>
      <c r="J32" s="7">
        <v>4642</v>
      </c>
      <c r="K32" s="7">
        <v>7350</v>
      </c>
      <c r="L32" s="8">
        <v>10.83</v>
      </c>
      <c r="M32" s="7">
        <v>678</v>
      </c>
      <c r="N32" s="7">
        <v>40425</v>
      </c>
      <c r="O32" s="8">
        <v>11.92</v>
      </c>
      <c r="P32" s="7">
        <v>3392</v>
      </c>
      <c r="Q32" s="7">
        <v>50425</v>
      </c>
      <c r="R32" s="8">
        <v>9.33</v>
      </c>
      <c r="S32" s="7">
        <v>5403</v>
      </c>
      <c r="T32" s="7"/>
      <c r="U32" s="8"/>
      <c r="V32" s="7"/>
      <c r="W32" s="7">
        <v>189400</v>
      </c>
      <c r="X32" s="8">
        <v>49.58</v>
      </c>
      <c r="Y32" s="7">
        <v>3820</v>
      </c>
    </row>
    <row r="33" spans="1:25" x14ac:dyDescent="0.25" outlineLevel="2">
      <c r="A33" s="9" t="s">
        <v>14</v>
      </c>
      <c r="B33" s="9"/>
      <c r="C33" s="9"/>
      <c r="D33" s="9"/>
      <c r="E33" s="10" t="s">
        <v>53</v>
      </c>
      <c r="F33" s="10"/>
      <c r="G33" s="10"/>
      <c r="H33" s="10" t="s">
        <v>54</v>
      </c>
      <c r="I33" s="10"/>
      <c r="J33" s="10"/>
      <c r="K33" s="10" t="s">
        <v>54</v>
      </c>
      <c r="L33" s="10"/>
      <c r="M33" s="10"/>
      <c r="N33" s="10" t="s">
        <v>55</v>
      </c>
      <c r="O33" s="10"/>
      <c r="P33" s="10"/>
      <c r="Q33" s="10" t="s">
        <v>56</v>
      </c>
      <c r="R33" s="10"/>
      <c r="S33" s="10"/>
      <c r="W33" s="10" t="s">
        <v>57</v>
      </c>
      <c r="X33" s="10"/>
      <c r="Y33" s="10"/>
    </row>
    <row r="34" spans="1:25" x14ac:dyDescent="0.25" outlineLevel="3" collapsed="1">
      <c r="A34" s="11" t="s">
        <v>58</v>
      </c>
      <c r="B34" s="11"/>
      <c r="C34" s="11"/>
      <c r="D34" s="11"/>
      <c r="E34" s="7">
        <v>14700</v>
      </c>
      <c r="F34" s="8">
        <v>1.5</v>
      </c>
      <c r="G34" s="7">
        <v>9800</v>
      </c>
      <c r="H34" s="7"/>
      <c r="I34" s="8"/>
      <c r="J34" s="7"/>
      <c r="K34" s="7"/>
      <c r="L34" s="8"/>
      <c r="M34" s="7"/>
      <c r="N34" s="7"/>
      <c r="O34" s="8"/>
      <c r="P34" s="7"/>
      <c r="Q34" s="7"/>
      <c r="R34" s="8"/>
      <c r="S34" s="7"/>
      <c r="T34" s="7"/>
      <c r="U34" s="8"/>
      <c r="V34" s="7"/>
      <c r="W34" s="7">
        <v>14700</v>
      </c>
      <c r="X34" s="8">
        <v>1.5</v>
      </c>
      <c r="Y34" s="7">
        <v>9800</v>
      </c>
    </row>
    <row r="35" spans="1:25" x14ac:dyDescent="0.25" outlineLevel="3" collapsed="1">
      <c r="A35" s="11" t="s">
        <v>59</v>
      </c>
      <c r="B35" s="11"/>
      <c r="C35" s="11"/>
      <c r="D35" s="11"/>
      <c r="E35" s="7"/>
      <c r="F35" s="8"/>
      <c r="G35" s="7"/>
      <c r="H35" s="7"/>
      <c r="I35" s="8"/>
      <c r="J35" s="7"/>
      <c r="K35" s="7"/>
      <c r="L35" s="8"/>
      <c r="M35" s="7"/>
      <c r="N35" s="7"/>
      <c r="O35" s="8"/>
      <c r="P35" s="7"/>
      <c r="Q35" s="7">
        <v>7850</v>
      </c>
      <c r="R35" s="8">
        <v>3</v>
      </c>
      <c r="S35" s="7">
        <v>2617</v>
      </c>
      <c r="T35" s="7"/>
      <c r="U35" s="8"/>
      <c r="V35" s="7"/>
      <c r="W35" s="7">
        <v>7850</v>
      </c>
      <c r="X35" s="8">
        <v>3</v>
      </c>
      <c r="Y35" s="7">
        <v>2617</v>
      </c>
    </row>
    <row r="36" spans="1:25" x14ac:dyDescent="0.25" outlineLevel="3" collapsed="1">
      <c r="A36" s="11" t="s">
        <v>60</v>
      </c>
      <c r="B36" s="11"/>
      <c r="C36" s="11"/>
      <c r="D36" s="11"/>
      <c r="E36" s="7">
        <v>14700</v>
      </c>
      <c r="F36" s="8">
        <v>3.25</v>
      </c>
      <c r="G36" s="7">
        <v>4523</v>
      </c>
      <c r="H36" s="7"/>
      <c r="I36" s="8"/>
      <c r="J36" s="7"/>
      <c r="K36" s="7"/>
      <c r="L36" s="8"/>
      <c r="M36" s="7"/>
      <c r="N36" s="7"/>
      <c r="O36" s="8"/>
      <c r="P36" s="7"/>
      <c r="Q36" s="7"/>
      <c r="R36" s="8"/>
      <c r="S36" s="7"/>
      <c r="T36" s="7"/>
      <c r="U36" s="8"/>
      <c r="V36" s="7"/>
      <c r="W36" s="7">
        <v>14700</v>
      </c>
      <c r="X36" s="8">
        <v>3.25</v>
      </c>
      <c r="Y36" s="7">
        <v>4523</v>
      </c>
    </row>
    <row r="37" spans="1:25" x14ac:dyDescent="0.25" outlineLevel="3" collapsed="1">
      <c r="A37" s="11" t="s">
        <v>61</v>
      </c>
      <c r="B37" s="11"/>
      <c r="C37" s="11"/>
      <c r="D37" s="11"/>
      <c r="E37" s="7"/>
      <c r="F37" s="8">
        <v>0.33</v>
      </c>
      <c r="G37" s="7"/>
      <c r="H37" s="7"/>
      <c r="I37" s="8"/>
      <c r="J37" s="7"/>
      <c r="K37" s="7"/>
      <c r="L37" s="8"/>
      <c r="M37" s="7"/>
      <c r="N37" s="7"/>
      <c r="O37" s="8"/>
      <c r="P37" s="7"/>
      <c r="Q37" s="7"/>
      <c r="R37" s="8"/>
      <c r="S37" s="7"/>
      <c r="T37" s="7"/>
      <c r="U37" s="8"/>
      <c r="V37" s="7"/>
      <c r="W37" s="7"/>
      <c r="X37" s="8">
        <v>0.33</v>
      </c>
      <c r="Y37" s="7"/>
    </row>
    <row r="38" spans="1:25" x14ac:dyDescent="0.25" outlineLevel="3" collapsed="1">
      <c r="A38" s="11" t="s">
        <v>62</v>
      </c>
      <c r="B38" s="11"/>
      <c r="C38" s="11"/>
      <c r="D38" s="11"/>
      <c r="E38" s="7"/>
      <c r="F38" s="8"/>
      <c r="G38" s="7"/>
      <c r="H38" s="7"/>
      <c r="I38" s="8"/>
      <c r="J38" s="7"/>
      <c r="K38" s="7"/>
      <c r="L38" s="8">
        <v>7.5</v>
      </c>
      <c r="M38" s="7"/>
      <c r="N38" s="7"/>
      <c r="O38" s="8"/>
      <c r="P38" s="7"/>
      <c r="Q38" s="7"/>
      <c r="R38" s="8"/>
      <c r="S38" s="7"/>
      <c r="T38" s="7"/>
      <c r="U38" s="8"/>
      <c r="V38" s="7"/>
      <c r="W38" s="7"/>
      <c r="X38" s="8">
        <v>7.5</v>
      </c>
      <c r="Y38" s="7"/>
    </row>
    <row r="39" spans="1:25" x14ac:dyDescent="0.25" outlineLevel="3" collapsed="1">
      <c r="A39" s="11" t="s">
        <v>63</v>
      </c>
      <c r="B39" s="11"/>
      <c r="C39" s="11"/>
      <c r="D39" s="11"/>
      <c r="E39" s="7"/>
      <c r="F39" s="8"/>
      <c r="G39" s="7"/>
      <c r="H39" s="7"/>
      <c r="I39" s="8"/>
      <c r="J39" s="7"/>
      <c r="K39" s="7"/>
      <c r="L39" s="8"/>
      <c r="M39" s="7"/>
      <c r="N39" s="7">
        <v>7350</v>
      </c>
      <c r="O39" s="8">
        <v>5.83</v>
      </c>
      <c r="P39" s="7">
        <v>1260</v>
      </c>
      <c r="Q39" s="7"/>
      <c r="R39" s="8"/>
      <c r="S39" s="7"/>
      <c r="T39" s="7"/>
      <c r="U39" s="8"/>
      <c r="V39" s="7"/>
      <c r="W39" s="7">
        <v>7350</v>
      </c>
      <c r="X39" s="8">
        <v>5.83</v>
      </c>
      <c r="Y39" s="7">
        <v>1260</v>
      </c>
    </row>
    <row r="40" spans="1:25" x14ac:dyDescent="0.25" outlineLevel="3" collapsed="1">
      <c r="A40" s="11" t="s">
        <v>64</v>
      </c>
      <c r="B40" s="11"/>
      <c r="C40" s="11"/>
      <c r="D40" s="11"/>
      <c r="E40" s="7"/>
      <c r="F40" s="8"/>
      <c r="G40" s="7"/>
      <c r="H40" s="7">
        <v>7350</v>
      </c>
      <c r="I40" s="8">
        <v>3</v>
      </c>
      <c r="J40" s="7">
        <v>2450</v>
      </c>
      <c r="K40" s="7"/>
      <c r="L40" s="8"/>
      <c r="M40" s="7"/>
      <c r="N40" s="7"/>
      <c r="O40" s="8"/>
      <c r="P40" s="7"/>
      <c r="Q40" s="7"/>
      <c r="R40" s="8"/>
      <c r="S40" s="7"/>
      <c r="T40" s="7"/>
      <c r="U40" s="8"/>
      <c r="V40" s="7"/>
      <c r="W40" s="7">
        <v>7350</v>
      </c>
      <c r="X40" s="8">
        <v>3</v>
      </c>
      <c r="Y40" s="7">
        <v>2450</v>
      </c>
    </row>
    <row r="41" spans="1:25" x14ac:dyDescent="0.25" outlineLevel="3" collapsed="1">
      <c r="A41" s="11" t="s">
        <v>65</v>
      </c>
      <c r="B41" s="11"/>
      <c r="C41" s="11"/>
      <c r="D41" s="11"/>
      <c r="E41" s="7">
        <v>22050</v>
      </c>
      <c r="F41" s="8">
        <v>3.33</v>
      </c>
      <c r="G41" s="7">
        <v>6615</v>
      </c>
      <c r="H41" s="7"/>
      <c r="I41" s="8"/>
      <c r="J41" s="7"/>
      <c r="K41" s="7"/>
      <c r="L41" s="8"/>
      <c r="M41" s="7"/>
      <c r="N41" s="7"/>
      <c r="O41" s="8"/>
      <c r="P41" s="7"/>
      <c r="Q41" s="7"/>
      <c r="R41" s="8"/>
      <c r="S41" s="7"/>
      <c r="T41" s="7"/>
      <c r="U41" s="8"/>
      <c r="V41" s="7"/>
      <c r="W41" s="7">
        <v>22050</v>
      </c>
      <c r="X41" s="8">
        <v>3.33</v>
      </c>
      <c r="Y41" s="7">
        <v>6615</v>
      </c>
    </row>
    <row r="42" spans="1:25" x14ac:dyDescent="0.25" outlineLevel="3" collapsed="1">
      <c r="A42" s="11" t="s">
        <v>66</v>
      </c>
      <c r="B42" s="11"/>
      <c r="C42" s="11"/>
      <c r="D42" s="11"/>
      <c r="E42" s="7">
        <v>3000</v>
      </c>
      <c r="F42" s="8">
        <v>1.17</v>
      </c>
      <c r="G42" s="7">
        <v>2571</v>
      </c>
      <c r="H42" s="7"/>
      <c r="I42" s="8"/>
      <c r="J42" s="7"/>
      <c r="K42" s="7"/>
      <c r="L42" s="8"/>
      <c r="M42" s="7"/>
      <c r="N42" s="7"/>
      <c r="O42" s="8"/>
      <c r="P42" s="7"/>
      <c r="Q42" s="7"/>
      <c r="R42" s="8"/>
      <c r="S42" s="7"/>
      <c r="T42" s="7"/>
      <c r="U42" s="8"/>
      <c r="V42" s="7"/>
      <c r="W42" s="7">
        <v>3000</v>
      </c>
      <c r="X42" s="8">
        <v>1.17</v>
      </c>
      <c r="Y42" s="7">
        <v>2571</v>
      </c>
    </row>
    <row r="43" spans="1:25" x14ac:dyDescent="0.25" outlineLevel="3" collapsed="1">
      <c r="A43" s="11" t="s">
        <v>67</v>
      </c>
      <c r="B43" s="11"/>
      <c r="C43" s="11"/>
      <c r="D43" s="11"/>
      <c r="E43" s="7"/>
      <c r="F43" s="8"/>
      <c r="G43" s="7"/>
      <c r="H43" s="7"/>
      <c r="I43" s="8"/>
      <c r="J43" s="7"/>
      <c r="K43" s="7"/>
      <c r="L43" s="8"/>
      <c r="M43" s="7"/>
      <c r="N43" s="7"/>
      <c r="O43" s="8"/>
      <c r="P43" s="7"/>
      <c r="Q43" s="7">
        <v>9500</v>
      </c>
      <c r="R43" s="8">
        <v>1.83</v>
      </c>
      <c r="S43" s="7">
        <v>5182</v>
      </c>
      <c r="T43" s="7"/>
      <c r="U43" s="8"/>
      <c r="V43" s="7"/>
      <c r="W43" s="7">
        <v>9500</v>
      </c>
      <c r="X43" s="8">
        <v>1.83</v>
      </c>
      <c r="Y43" s="7">
        <v>5182</v>
      </c>
    </row>
    <row r="44" spans="1:25" x14ac:dyDescent="0.25" outlineLevel="3" collapsed="1">
      <c r="A44" s="11" t="s">
        <v>68</v>
      </c>
      <c r="B44" s="11"/>
      <c r="C44" s="11"/>
      <c r="D44" s="11"/>
      <c r="E44" s="7"/>
      <c r="F44" s="8"/>
      <c r="G44" s="7"/>
      <c r="H44" s="7"/>
      <c r="I44" s="8"/>
      <c r="J44" s="7"/>
      <c r="K44" s="7">
        <v>7350</v>
      </c>
      <c r="L44" s="8">
        <v>3.33</v>
      </c>
      <c r="M44" s="7">
        <v>2205</v>
      </c>
      <c r="N44" s="7"/>
      <c r="O44" s="8"/>
      <c r="P44" s="7"/>
      <c r="Q44" s="7"/>
      <c r="R44" s="8"/>
      <c r="S44" s="7"/>
      <c r="T44" s="7"/>
      <c r="U44" s="8"/>
      <c r="V44" s="7"/>
      <c r="W44" s="7">
        <v>7350</v>
      </c>
      <c r="X44" s="8">
        <v>3.33</v>
      </c>
      <c r="Y44" s="7">
        <v>2205</v>
      </c>
    </row>
    <row r="45" spans="1:25" x14ac:dyDescent="0.25" outlineLevel="3" collapsed="1">
      <c r="A45" s="11" t="s">
        <v>69</v>
      </c>
      <c r="B45" s="11"/>
      <c r="C45" s="11"/>
      <c r="D45" s="11"/>
      <c r="E45" s="7"/>
      <c r="F45" s="8"/>
      <c r="G45" s="7"/>
      <c r="H45" s="7">
        <v>14700</v>
      </c>
      <c r="I45" s="8">
        <v>3.08</v>
      </c>
      <c r="J45" s="7">
        <v>4768</v>
      </c>
      <c r="K45" s="7"/>
      <c r="L45" s="8"/>
      <c r="M45" s="7"/>
      <c r="N45" s="7"/>
      <c r="O45" s="8"/>
      <c r="P45" s="7"/>
      <c r="Q45" s="7"/>
      <c r="R45" s="8"/>
      <c r="S45" s="7"/>
      <c r="T45" s="7"/>
      <c r="U45" s="8"/>
      <c r="V45" s="7"/>
      <c r="W45" s="7">
        <v>14700</v>
      </c>
      <c r="X45" s="8">
        <v>3.08</v>
      </c>
      <c r="Y45" s="7">
        <v>4768</v>
      </c>
    </row>
    <row r="46" spans="1:25" x14ac:dyDescent="0.25" outlineLevel="3" collapsed="1">
      <c r="A46" s="11" t="s">
        <v>70</v>
      </c>
      <c r="B46" s="11"/>
      <c r="C46" s="11"/>
      <c r="D46" s="11"/>
      <c r="E46" s="7"/>
      <c r="F46" s="8"/>
      <c r="G46" s="7"/>
      <c r="H46" s="7"/>
      <c r="I46" s="8"/>
      <c r="J46" s="7"/>
      <c r="K46" s="7"/>
      <c r="L46" s="8"/>
      <c r="M46" s="7"/>
      <c r="N46" s="7">
        <v>18375</v>
      </c>
      <c r="O46" s="8">
        <v>3.25</v>
      </c>
      <c r="P46" s="7">
        <v>5654</v>
      </c>
      <c r="Q46" s="7"/>
      <c r="R46" s="8"/>
      <c r="S46" s="7"/>
      <c r="T46" s="7"/>
      <c r="U46" s="8"/>
      <c r="V46" s="7"/>
      <c r="W46" s="7">
        <v>18375</v>
      </c>
      <c r="X46" s="8">
        <v>3.25</v>
      </c>
      <c r="Y46" s="7">
        <v>5654</v>
      </c>
    </row>
    <row r="47" spans="1:25" x14ac:dyDescent="0.25" outlineLevel="3" collapsed="1">
      <c r="A47" s="11" t="s">
        <v>71</v>
      </c>
      <c r="B47" s="11"/>
      <c r="C47" s="11"/>
      <c r="D47" s="11"/>
      <c r="E47" s="7"/>
      <c r="F47" s="8"/>
      <c r="G47" s="7"/>
      <c r="H47" s="7"/>
      <c r="I47" s="8"/>
      <c r="J47" s="7"/>
      <c r="K47" s="7"/>
      <c r="L47" s="8"/>
      <c r="M47" s="7"/>
      <c r="N47" s="7"/>
      <c r="O47" s="8"/>
      <c r="P47" s="7"/>
      <c r="Q47" s="7">
        <v>18375</v>
      </c>
      <c r="R47" s="8">
        <v>3.5</v>
      </c>
      <c r="S47" s="7">
        <v>5250</v>
      </c>
      <c r="T47" s="7"/>
      <c r="U47" s="8"/>
      <c r="V47" s="7"/>
      <c r="W47" s="7">
        <v>18375</v>
      </c>
      <c r="X47" s="8">
        <v>3.5</v>
      </c>
      <c r="Y47" s="7">
        <v>5250</v>
      </c>
    </row>
    <row r="48" spans="1:25" x14ac:dyDescent="0.25" outlineLevel="3" collapsed="1">
      <c r="A48" s="11" t="s">
        <v>72</v>
      </c>
      <c r="B48" s="11"/>
      <c r="C48" s="11"/>
      <c r="D48" s="11"/>
      <c r="E48" s="7"/>
      <c r="F48" s="8"/>
      <c r="G48" s="7"/>
      <c r="H48" s="7"/>
      <c r="I48" s="8"/>
      <c r="J48" s="7"/>
      <c r="K48" s="7"/>
      <c r="L48" s="8"/>
      <c r="M48" s="7"/>
      <c r="N48" s="7">
        <v>14700</v>
      </c>
      <c r="O48" s="8">
        <v>2.83</v>
      </c>
      <c r="P48" s="7">
        <v>5188</v>
      </c>
      <c r="Q48" s="7"/>
      <c r="R48" s="8"/>
      <c r="S48" s="7"/>
      <c r="T48" s="7"/>
      <c r="U48" s="8"/>
      <c r="V48" s="7"/>
      <c r="W48" s="7">
        <v>14700</v>
      </c>
      <c r="X48" s="8">
        <v>2.83</v>
      </c>
      <c r="Y48" s="7">
        <v>5188</v>
      </c>
    </row>
    <row r="49" spans="1:25" x14ac:dyDescent="0.25" outlineLevel="3" collapsed="1">
      <c r="A49" s="11" t="s">
        <v>73</v>
      </c>
      <c r="B49" s="11"/>
      <c r="C49" s="11"/>
      <c r="D49" s="11"/>
      <c r="E49" s="7"/>
      <c r="F49" s="8"/>
      <c r="G49" s="7"/>
      <c r="H49" s="7"/>
      <c r="I49" s="8"/>
      <c r="J49" s="7"/>
      <c r="K49" s="7"/>
      <c r="L49" s="8"/>
      <c r="M49" s="7"/>
      <c r="N49" s="7"/>
      <c r="O49" s="8"/>
      <c r="P49" s="7"/>
      <c r="Q49" s="7">
        <v>14700</v>
      </c>
      <c r="R49" s="8">
        <v>1</v>
      </c>
      <c r="S49" s="7">
        <v>14700</v>
      </c>
      <c r="T49" s="7"/>
      <c r="U49" s="8"/>
      <c r="V49" s="7"/>
      <c r="W49" s="7">
        <v>14700</v>
      </c>
      <c r="X49" s="8">
        <v>1</v>
      </c>
      <c r="Y49" s="7">
        <v>14700</v>
      </c>
    </row>
    <row r="50" spans="1:25" x14ac:dyDescent="0.25" outlineLevel="3" collapsed="1">
      <c r="A50" s="11" t="s">
        <v>74</v>
      </c>
      <c r="B50" s="11"/>
      <c r="C50" s="11"/>
      <c r="D50" s="11"/>
      <c r="E50" s="7"/>
      <c r="F50" s="8"/>
      <c r="G50" s="7"/>
      <c r="H50" s="7">
        <v>14700</v>
      </c>
      <c r="I50" s="8">
        <v>1.83</v>
      </c>
      <c r="J50" s="7">
        <v>8018</v>
      </c>
      <c r="K50" s="7"/>
      <c r="L50" s="8"/>
      <c r="M50" s="7"/>
      <c r="N50" s="7"/>
      <c r="O50" s="8"/>
      <c r="P50" s="7"/>
      <c r="Q50" s="7"/>
      <c r="R50" s="8"/>
      <c r="S50" s="7"/>
      <c r="T50" s="7"/>
      <c r="U50" s="8"/>
      <c r="V50" s="7"/>
      <c r="W50" s="7">
        <v>14700</v>
      </c>
      <c r="X50" s="8">
        <v>1.83</v>
      </c>
      <c r="Y50" s="7">
        <v>8018</v>
      </c>
    </row>
    <row r="51" spans="1:25" x14ac:dyDescent="0.25" outlineLevel="1">
      <c r="A51" s="6" t="s">
        <v>75</v>
      </c>
      <c r="B51" s="6"/>
      <c r="C51" s="6"/>
      <c r="D51" s="6"/>
      <c r="E51" s="7">
        <f>SUM(E52)</f>
        <v>45246</v>
      </c>
      <c r="F51" s="8">
        <f>SUM(F52)</f>
        <v>8.83</v>
      </c>
      <c r="G51" s="7">
        <f>IF(F51=0,"",ROUND(E51/F51,0))</f>
        <v>5122</v>
      </c>
      <c r="H51" s="7">
        <f>SUM(H52)</f>
        <v>42485</v>
      </c>
      <c r="I51" s="8">
        <f>SUM(I52)</f>
        <v>7.08</v>
      </c>
      <c r="J51" s="7">
        <f>IF(I51=0,"",ROUND(H51/I51,0))</f>
        <v>5998</v>
      </c>
      <c r="K51" s="7">
        <f>SUM(K52)</f>
        <v>29400</v>
      </c>
      <c r="L51" s="8">
        <f>SUM(L52)</f>
        <v>6.17</v>
      </c>
      <c r="M51" s="7">
        <f>IF(L51=0,"",ROUND(K51/L51,0))</f>
        <v>4768</v>
      </c>
      <c r="N51" s="7">
        <f>SUM(N52)</f>
        <v>29400</v>
      </c>
      <c r="O51" s="8">
        <f>SUM(O52)</f>
        <v>7.33</v>
      </c>
      <c r="P51" s="7">
        <f>IF(O51=0,"",ROUND(N51/O51,0))</f>
        <v>4009</v>
      </c>
      <c r="Q51" s="7">
        <f>SUM(Q52)</f>
        <v>40425</v>
      </c>
      <c r="R51" s="8">
        <f>SUM(R52)</f>
        <v>6.67</v>
      </c>
      <c r="S51" s="7">
        <f>IF(R51=0,"",ROUND(Q51/R51,0))</f>
        <v>6064</v>
      </c>
      <c r="T51" s="7">
        <f>SUM(T52)</f>
        <v>0</v>
      </c>
      <c r="U51" s="8">
        <f>SUM(U52)</f>
        <v>0</v>
      </c>
      <c r="V51" s="7">
        <f>IF(U51=0,"",ROUND(T51/U51,0))</f>
        <v>0</v>
      </c>
      <c r="W51" s="7">
        <f>SUM(W52)</f>
        <v>186956</v>
      </c>
      <c r="X51" s="8">
        <f>SUM(X52)</f>
        <v>36.08</v>
      </c>
      <c r="Y51" s="7">
        <f>IF(X51=0,"",ROUND(W51/X51,0))</f>
        <v>5181</v>
      </c>
    </row>
    <row r="52" spans="1:25" x14ac:dyDescent="0.25" outlineLevel="2">
      <c r="A52" s="9" t="s">
        <v>76</v>
      </c>
      <c r="B52" s="9"/>
      <c r="C52" s="9"/>
      <c r="D52" s="9"/>
      <c r="E52" s="7">
        <v>45246</v>
      </c>
      <c r="F52" s="8">
        <v>8.83</v>
      </c>
      <c r="G52" s="7">
        <v>5122</v>
      </c>
      <c r="H52" s="7">
        <v>42485</v>
      </c>
      <c r="I52" s="8">
        <v>7.08</v>
      </c>
      <c r="J52" s="7">
        <v>5998</v>
      </c>
      <c r="K52" s="7">
        <v>29400</v>
      </c>
      <c r="L52" s="8">
        <v>6.17</v>
      </c>
      <c r="M52" s="7">
        <v>4768</v>
      </c>
      <c r="N52" s="7">
        <v>29400</v>
      </c>
      <c r="O52" s="8">
        <v>7.33</v>
      </c>
      <c r="P52" s="7">
        <v>4009</v>
      </c>
      <c r="Q52" s="7">
        <v>40425</v>
      </c>
      <c r="R52" s="8">
        <v>6.67</v>
      </c>
      <c r="S52" s="7">
        <v>6064</v>
      </c>
      <c r="T52" s="7"/>
      <c r="U52" s="8"/>
      <c r="V52" s="7"/>
      <c r="W52" s="7">
        <v>186956</v>
      </c>
      <c r="X52" s="8">
        <v>36.08</v>
      </c>
      <c r="Y52" s="7">
        <v>5181</v>
      </c>
    </row>
    <row r="53" spans="1:25" x14ac:dyDescent="0.25" outlineLevel="2">
      <c r="A53" s="9" t="s">
        <v>14</v>
      </c>
      <c r="B53" s="9"/>
      <c r="C53" s="9"/>
      <c r="D53" s="9"/>
      <c r="E53" s="10" t="s">
        <v>77</v>
      </c>
      <c r="F53" s="10"/>
      <c r="G53" s="10"/>
      <c r="H53" s="10" t="s">
        <v>78</v>
      </c>
      <c r="I53" s="10"/>
      <c r="J53" s="10"/>
      <c r="K53" s="10" t="s">
        <v>79</v>
      </c>
      <c r="L53" s="10"/>
      <c r="M53" s="10"/>
      <c r="N53" s="10" t="s">
        <v>80</v>
      </c>
      <c r="O53" s="10"/>
      <c r="P53" s="10"/>
      <c r="Q53" s="10" t="s">
        <v>81</v>
      </c>
      <c r="R53" s="10"/>
      <c r="S53" s="10"/>
      <c r="W53" s="10" t="s">
        <v>82</v>
      </c>
      <c r="X53" s="10"/>
      <c r="Y53" s="10"/>
    </row>
    <row r="54" spans="1:25" x14ac:dyDescent="0.25" outlineLevel="3" collapsed="1">
      <c r="A54" s="11" t="s">
        <v>83</v>
      </c>
      <c r="B54" s="11"/>
      <c r="C54" s="11"/>
      <c r="D54" s="11"/>
      <c r="E54" s="7">
        <v>45246</v>
      </c>
      <c r="F54" s="8">
        <v>8.83</v>
      </c>
      <c r="G54" s="7">
        <v>5122</v>
      </c>
      <c r="H54" s="7"/>
      <c r="I54" s="8"/>
      <c r="J54" s="7"/>
      <c r="K54" s="7"/>
      <c r="L54" s="8"/>
      <c r="M54" s="7"/>
      <c r="N54" s="7"/>
      <c r="O54" s="8"/>
      <c r="P54" s="7"/>
      <c r="Q54" s="7"/>
      <c r="R54" s="8"/>
      <c r="S54" s="7"/>
      <c r="T54" s="7"/>
      <c r="U54" s="8"/>
      <c r="V54" s="7"/>
      <c r="W54" s="7">
        <v>45246</v>
      </c>
      <c r="X54" s="8">
        <v>8.83</v>
      </c>
      <c r="Y54" s="7">
        <v>5122</v>
      </c>
    </row>
    <row r="55" spans="1:25" x14ac:dyDescent="0.25" outlineLevel="3" collapsed="1">
      <c r="A55" s="11" t="s">
        <v>84</v>
      </c>
      <c r="B55" s="11"/>
      <c r="C55" s="11"/>
      <c r="D55" s="11"/>
      <c r="E55" s="7"/>
      <c r="F55" s="8"/>
      <c r="G55" s="7"/>
      <c r="H55" s="7">
        <v>32081</v>
      </c>
      <c r="I55" s="8">
        <v>5.33</v>
      </c>
      <c r="J55" s="7">
        <v>6015</v>
      </c>
      <c r="K55" s="7"/>
      <c r="L55" s="8"/>
      <c r="M55" s="7"/>
      <c r="N55" s="7"/>
      <c r="O55" s="8"/>
      <c r="P55" s="7"/>
      <c r="Q55" s="7"/>
      <c r="R55" s="8"/>
      <c r="S55" s="7"/>
      <c r="T55" s="7"/>
      <c r="U55" s="8"/>
      <c r="V55" s="7"/>
      <c r="W55" s="7">
        <v>32081</v>
      </c>
      <c r="X55" s="8">
        <v>5.33</v>
      </c>
      <c r="Y55" s="7">
        <v>6015</v>
      </c>
    </row>
    <row r="56" spans="1:25" x14ac:dyDescent="0.25" outlineLevel="3" collapsed="1">
      <c r="A56" s="11" t="s">
        <v>85</v>
      </c>
      <c r="B56" s="11"/>
      <c r="C56" s="11"/>
      <c r="D56" s="11"/>
      <c r="E56" s="7"/>
      <c r="F56" s="8"/>
      <c r="G56" s="7"/>
      <c r="H56" s="7"/>
      <c r="I56" s="8"/>
      <c r="J56" s="7"/>
      <c r="K56" s="7">
        <v>14700</v>
      </c>
      <c r="L56" s="8">
        <v>2.67</v>
      </c>
      <c r="M56" s="7">
        <v>5513</v>
      </c>
      <c r="N56" s="7"/>
      <c r="O56" s="8"/>
      <c r="P56" s="7"/>
      <c r="Q56" s="7"/>
      <c r="R56" s="8"/>
      <c r="S56" s="7"/>
      <c r="T56" s="7"/>
      <c r="U56" s="8"/>
      <c r="V56" s="7"/>
      <c r="W56" s="7">
        <v>14700</v>
      </c>
      <c r="X56" s="8">
        <v>2.67</v>
      </c>
      <c r="Y56" s="7">
        <v>5513</v>
      </c>
    </row>
    <row r="57" spans="1:25" x14ac:dyDescent="0.25" outlineLevel="3" collapsed="1">
      <c r="A57" s="11" t="s">
        <v>86</v>
      </c>
      <c r="B57" s="11"/>
      <c r="C57" s="11"/>
      <c r="D57" s="11"/>
      <c r="E57" s="7"/>
      <c r="F57" s="8"/>
      <c r="G57" s="7"/>
      <c r="H57" s="7">
        <v>10404</v>
      </c>
      <c r="I57" s="8">
        <v>1.75</v>
      </c>
      <c r="J57" s="7">
        <v>5945</v>
      </c>
      <c r="K57" s="7"/>
      <c r="L57" s="8"/>
      <c r="M57" s="7"/>
      <c r="N57" s="7"/>
      <c r="O57" s="8"/>
      <c r="P57" s="7"/>
      <c r="Q57" s="7"/>
      <c r="R57" s="8"/>
      <c r="S57" s="7"/>
      <c r="T57" s="7"/>
      <c r="U57" s="8"/>
      <c r="V57" s="7"/>
      <c r="W57" s="7">
        <v>10404</v>
      </c>
      <c r="X57" s="8">
        <v>1.75</v>
      </c>
      <c r="Y57" s="7">
        <v>5945</v>
      </c>
    </row>
    <row r="58" spans="1:25" x14ac:dyDescent="0.25" outlineLevel="3" collapsed="1">
      <c r="A58" s="11" t="s">
        <v>87</v>
      </c>
      <c r="B58" s="11"/>
      <c r="C58" s="11"/>
      <c r="D58" s="11"/>
      <c r="E58" s="7"/>
      <c r="F58" s="8"/>
      <c r="G58" s="7"/>
      <c r="H58" s="7"/>
      <c r="I58" s="8"/>
      <c r="J58" s="7"/>
      <c r="K58" s="7"/>
      <c r="L58" s="8"/>
      <c r="M58" s="7"/>
      <c r="N58" s="7"/>
      <c r="O58" s="8"/>
      <c r="P58" s="7"/>
      <c r="Q58" s="7">
        <v>23625</v>
      </c>
      <c r="R58" s="8">
        <v>3.83</v>
      </c>
      <c r="S58" s="7">
        <v>6163</v>
      </c>
      <c r="T58" s="7"/>
      <c r="U58" s="8"/>
      <c r="V58" s="7"/>
      <c r="W58" s="7">
        <v>23625</v>
      </c>
      <c r="X58" s="8">
        <v>3.83</v>
      </c>
      <c r="Y58" s="7">
        <v>6163</v>
      </c>
    </row>
    <row r="59" spans="1:25" x14ac:dyDescent="0.25" outlineLevel="3" collapsed="1">
      <c r="A59" s="11" t="s">
        <v>88</v>
      </c>
      <c r="B59" s="11"/>
      <c r="C59" s="11"/>
      <c r="D59" s="11"/>
      <c r="E59" s="7"/>
      <c r="F59" s="8"/>
      <c r="G59" s="7"/>
      <c r="H59" s="7"/>
      <c r="I59" s="8"/>
      <c r="J59" s="7"/>
      <c r="K59" s="7"/>
      <c r="L59" s="8"/>
      <c r="M59" s="7"/>
      <c r="N59" s="7">
        <v>14700</v>
      </c>
      <c r="O59" s="8">
        <v>4.33</v>
      </c>
      <c r="P59" s="7">
        <v>3392</v>
      </c>
      <c r="Q59" s="7"/>
      <c r="R59" s="8"/>
      <c r="S59" s="7"/>
      <c r="T59" s="7"/>
      <c r="U59" s="8"/>
      <c r="V59" s="7"/>
      <c r="W59" s="7">
        <v>14700</v>
      </c>
      <c r="X59" s="8">
        <v>4.33</v>
      </c>
      <c r="Y59" s="7">
        <v>3392</v>
      </c>
    </row>
    <row r="60" spans="1:25" x14ac:dyDescent="0.25" outlineLevel="3" collapsed="1">
      <c r="A60" s="11" t="s">
        <v>89</v>
      </c>
      <c r="B60" s="11"/>
      <c r="C60" s="11"/>
      <c r="D60" s="11"/>
      <c r="E60" s="7"/>
      <c r="F60" s="8"/>
      <c r="G60" s="7"/>
      <c r="H60" s="7"/>
      <c r="I60" s="8"/>
      <c r="J60" s="7"/>
      <c r="K60" s="7"/>
      <c r="L60" s="8"/>
      <c r="M60" s="7"/>
      <c r="N60" s="7"/>
      <c r="O60" s="8"/>
      <c r="P60" s="7"/>
      <c r="Q60" s="7">
        <v>16800</v>
      </c>
      <c r="R60" s="8">
        <v>2.83</v>
      </c>
      <c r="S60" s="7">
        <v>5929</v>
      </c>
      <c r="T60" s="7"/>
      <c r="U60" s="8"/>
      <c r="V60" s="7"/>
      <c r="W60" s="7">
        <v>16800</v>
      </c>
      <c r="X60" s="8">
        <v>2.83</v>
      </c>
      <c r="Y60" s="7">
        <v>5929</v>
      </c>
    </row>
    <row r="61" spans="1:25" x14ac:dyDescent="0.25" outlineLevel="3" collapsed="1">
      <c r="A61" s="11" t="s">
        <v>90</v>
      </c>
      <c r="B61" s="11"/>
      <c r="C61" s="11"/>
      <c r="D61" s="11"/>
      <c r="E61" s="7"/>
      <c r="F61" s="8"/>
      <c r="G61" s="7"/>
      <c r="H61" s="7"/>
      <c r="I61" s="8"/>
      <c r="J61" s="7"/>
      <c r="K61" s="7"/>
      <c r="L61" s="8"/>
      <c r="M61" s="7"/>
      <c r="N61" s="7">
        <v>14700</v>
      </c>
      <c r="O61" s="8">
        <v>3</v>
      </c>
      <c r="P61" s="7">
        <v>4900</v>
      </c>
      <c r="Q61" s="7"/>
      <c r="R61" s="8"/>
      <c r="S61" s="7"/>
      <c r="T61" s="7"/>
      <c r="U61" s="8"/>
      <c r="V61" s="7"/>
      <c r="W61" s="7">
        <v>14700</v>
      </c>
      <c r="X61" s="8">
        <v>3</v>
      </c>
      <c r="Y61" s="7">
        <v>4900</v>
      </c>
    </row>
    <row r="62" spans="1:25" x14ac:dyDescent="0.25" outlineLevel="3" collapsed="1">
      <c r="A62" s="11" t="s">
        <v>91</v>
      </c>
      <c r="B62" s="11"/>
      <c r="C62" s="11"/>
      <c r="D62" s="11"/>
      <c r="E62" s="7"/>
      <c r="F62" s="8"/>
      <c r="G62" s="7"/>
      <c r="H62" s="7"/>
      <c r="I62" s="8"/>
      <c r="J62" s="7"/>
      <c r="K62" s="7">
        <v>14700</v>
      </c>
      <c r="L62" s="8">
        <v>3.5</v>
      </c>
      <c r="M62" s="7">
        <v>4200</v>
      </c>
      <c r="N62" s="7"/>
      <c r="O62" s="8"/>
      <c r="P62" s="7"/>
      <c r="Q62" s="7"/>
      <c r="R62" s="8"/>
      <c r="S62" s="7"/>
      <c r="T62" s="7"/>
      <c r="U62" s="8"/>
      <c r="V62" s="7"/>
      <c r="W62" s="7">
        <v>14700</v>
      </c>
      <c r="X62" s="8">
        <v>3.5</v>
      </c>
      <c r="Y62" s="7">
        <v>4200</v>
      </c>
    </row>
    <row r="63" spans="1:25" x14ac:dyDescent="0.25" outlineLevel="1">
      <c r="A63" s="6" t="s">
        <v>92</v>
      </c>
      <c r="B63" s="6"/>
      <c r="C63" s="6"/>
      <c r="D63" s="6"/>
      <c r="E63" s="7">
        <f>SUM(E64)</f>
        <v>36750</v>
      </c>
      <c r="F63" s="8">
        <f>SUM(F64)</f>
        <v>10.17</v>
      </c>
      <c r="G63" s="7">
        <f>IF(F63=0,"",ROUND(E63/F63,0))</f>
        <v>3615</v>
      </c>
      <c r="H63" s="7">
        <f>SUM(H64)</f>
        <v>36750</v>
      </c>
      <c r="I63" s="8">
        <f>SUM(I64)</f>
        <v>10</v>
      </c>
      <c r="J63" s="7">
        <f>IF(I63=0,"",ROUND(H63/I63,0))</f>
        <v>3675</v>
      </c>
      <c r="K63" s="7">
        <f>SUM(K64)</f>
        <v>46200</v>
      </c>
      <c r="L63" s="8">
        <f>SUM(L64)</f>
        <v>9.5</v>
      </c>
      <c r="M63" s="7">
        <f>IF(L63=0,"",ROUND(K63/L63,0))</f>
        <v>4863</v>
      </c>
      <c r="N63" s="7">
        <f>SUM(N64)</f>
        <v>36750</v>
      </c>
      <c r="O63" s="8">
        <f>SUM(O64)</f>
        <v>11.58</v>
      </c>
      <c r="P63" s="7">
        <f>IF(O63=0,"",ROUND(N63/O63,0))</f>
        <v>3173</v>
      </c>
      <c r="Q63" s="7">
        <f>SUM(Q64)</f>
        <v>59101</v>
      </c>
      <c r="R63" s="8">
        <f>SUM(R64)</f>
        <v>11.42</v>
      </c>
      <c r="S63" s="7">
        <f>IF(R63=0,"",ROUND(Q63/R63,0))</f>
        <v>5177</v>
      </c>
      <c r="T63" s="7">
        <f>SUM(T64)</f>
        <v>0</v>
      </c>
      <c r="U63" s="8">
        <f>SUM(U64)</f>
        <v>0</v>
      </c>
      <c r="V63" s="7">
        <f>IF(U63=0,"",ROUND(T63/U63,0))</f>
        <v>0</v>
      </c>
      <c r="W63" s="7">
        <f>SUM(W64)</f>
        <v>215551</v>
      </c>
      <c r="X63" s="8">
        <f>SUM(X64)</f>
        <v>52.67</v>
      </c>
      <c r="Y63" s="7">
        <f>IF(X63=0,"",ROUND(W63/X63,0))</f>
        <v>4093</v>
      </c>
    </row>
    <row r="64" spans="1:25" x14ac:dyDescent="0.25" outlineLevel="2">
      <c r="A64" s="9" t="s">
        <v>93</v>
      </c>
      <c r="B64" s="9"/>
      <c r="C64" s="9"/>
      <c r="D64" s="9"/>
      <c r="E64" s="7">
        <v>36750</v>
      </c>
      <c r="F64" s="8">
        <v>10.17</v>
      </c>
      <c r="G64" s="7">
        <v>3615</v>
      </c>
      <c r="H64" s="7">
        <v>36750</v>
      </c>
      <c r="I64" s="8">
        <v>10</v>
      </c>
      <c r="J64" s="7">
        <v>3675</v>
      </c>
      <c r="K64" s="7">
        <v>46200</v>
      </c>
      <c r="L64" s="8">
        <v>9.5</v>
      </c>
      <c r="M64" s="7">
        <v>4863</v>
      </c>
      <c r="N64" s="7">
        <v>36750</v>
      </c>
      <c r="O64" s="8">
        <v>11.58</v>
      </c>
      <c r="P64" s="7">
        <v>3173</v>
      </c>
      <c r="Q64" s="7">
        <v>59101</v>
      </c>
      <c r="R64" s="8">
        <v>11.42</v>
      </c>
      <c r="S64" s="7">
        <v>5177</v>
      </c>
      <c r="T64" s="7"/>
      <c r="U64" s="8"/>
      <c r="V64" s="7"/>
      <c r="W64" s="7">
        <v>215551</v>
      </c>
      <c r="X64" s="8">
        <v>52.67</v>
      </c>
      <c r="Y64" s="7">
        <v>4093</v>
      </c>
    </row>
    <row r="65" spans="1:25" x14ac:dyDescent="0.25" outlineLevel="2">
      <c r="A65" s="9" t="s">
        <v>14</v>
      </c>
      <c r="B65" s="9"/>
      <c r="C65" s="9"/>
      <c r="D65" s="9"/>
      <c r="E65" s="10" t="s">
        <v>53</v>
      </c>
      <c r="F65" s="10"/>
      <c r="G65" s="10"/>
      <c r="H65" s="10" t="s">
        <v>54</v>
      </c>
      <c r="I65" s="10"/>
      <c r="J65" s="10"/>
      <c r="K65" s="10" t="s">
        <v>54</v>
      </c>
      <c r="L65" s="10"/>
      <c r="M65" s="10"/>
      <c r="N65" s="10" t="s">
        <v>55</v>
      </c>
      <c r="O65" s="10"/>
      <c r="P65" s="10"/>
      <c r="Q65" s="10" t="s">
        <v>56</v>
      </c>
      <c r="R65" s="10"/>
      <c r="S65" s="10"/>
      <c r="W65" s="10" t="s">
        <v>57</v>
      </c>
      <c r="X65" s="10"/>
      <c r="Y65" s="10"/>
    </row>
    <row r="66" spans="1:25" x14ac:dyDescent="0.25" outlineLevel="3" collapsed="1">
      <c r="A66" s="11" t="s">
        <v>59</v>
      </c>
      <c r="B66" s="11"/>
      <c r="C66" s="11"/>
      <c r="D66" s="11"/>
      <c r="E66" s="7"/>
      <c r="F66" s="8"/>
      <c r="G66" s="7"/>
      <c r="H66" s="7"/>
      <c r="I66" s="8"/>
      <c r="J66" s="7"/>
      <c r="K66" s="7"/>
      <c r="L66" s="8"/>
      <c r="M66" s="7"/>
      <c r="N66" s="7"/>
      <c r="O66" s="8"/>
      <c r="P66" s="7"/>
      <c r="Q66" s="7">
        <v>7850</v>
      </c>
      <c r="R66" s="8">
        <v>3</v>
      </c>
      <c r="S66" s="7">
        <v>2617</v>
      </c>
      <c r="T66" s="7"/>
      <c r="U66" s="8"/>
      <c r="V66" s="7"/>
      <c r="W66" s="7">
        <v>7850</v>
      </c>
      <c r="X66" s="8">
        <v>3</v>
      </c>
      <c r="Y66" s="7">
        <v>2617</v>
      </c>
    </row>
    <row r="67" spans="1:25" x14ac:dyDescent="0.25" outlineLevel="3" collapsed="1">
      <c r="A67" s="11" t="s">
        <v>63</v>
      </c>
      <c r="B67" s="11"/>
      <c r="C67" s="11"/>
      <c r="D67" s="11"/>
      <c r="E67" s="7"/>
      <c r="F67" s="8"/>
      <c r="G67" s="7"/>
      <c r="H67" s="7"/>
      <c r="I67" s="8"/>
      <c r="J67" s="7"/>
      <c r="K67" s="7"/>
      <c r="L67" s="8"/>
      <c r="M67" s="7"/>
      <c r="N67" s="7">
        <v>7350</v>
      </c>
      <c r="O67" s="8">
        <v>5.83</v>
      </c>
      <c r="P67" s="7">
        <v>1260</v>
      </c>
      <c r="Q67" s="7"/>
      <c r="R67" s="8"/>
      <c r="S67" s="7"/>
      <c r="T67" s="7"/>
      <c r="U67" s="8"/>
      <c r="V67" s="7"/>
      <c r="W67" s="7">
        <v>7350</v>
      </c>
      <c r="X67" s="8">
        <v>5.83</v>
      </c>
      <c r="Y67" s="7">
        <v>1260</v>
      </c>
    </row>
    <row r="68" spans="1:25" x14ac:dyDescent="0.25" outlineLevel="3" collapsed="1">
      <c r="A68" s="11" t="s">
        <v>64</v>
      </c>
      <c r="B68" s="11"/>
      <c r="C68" s="11"/>
      <c r="D68" s="11"/>
      <c r="E68" s="7"/>
      <c r="F68" s="8"/>
      <c r="G68" s="7"/>
      <c r="H68" s="7">
        <v>7350</v>
      </c>
      <c r="I68" s="8">
        <v>3</v>
      </c>
      <c r="J68" s="7">
        <v>2450</v>
      </c>
      <c r="K68" s="7"/>
      <c r="L68" s="8"/>
      <c r="M68" s="7"/>
      <c r="N68" s="7"/>
      <c r="O68" s="8"/>
      <c r="P68" s="7"/>
      <c r="Q68" s="7"/>
      <c r="R68" s="8"/>
      <c r="S68" s="7"/>
      <c r="T68" s="7"/>
      <c r="U68" s="8"/>
      <c r="V68" s="7"/>
      <c r="W68" s="7">
        <v>7350</v>
      </c>
      <c r="X68" s="8">
        <v>3</v>
      </c>
      <c r="Y68" s="7">
        <v>2450</v>
      </c>
    </row>
    <row r="69" spans="1:25" x14ac:dyDescent="0.25" outlineLevel="3" collapsed="1">
      <c r="A69" s="11" t="s">
        <v>68</v>
      </c>
      <c r="B69" s="11"/>
      <c r="C69" s="11"/>
      <c r="D69" s="11"/>
      <c r="E69" s="7"/>
      <c r="F69" s="8"/>
      <c r="G69" s="7"/>
      <c r="H69" s="7"/>
      <c r="I69" s="8"/>
      <c r="J69" s="7"/>
      <c r="K69" s="7">
        <v>7350</v>
      </c>
      <c r="L69" s="8">
        <v>3.33</v>
      </c>
      <c r="M69" s="7">
        <v>2205</v>
      </c>
      <c r="N69" s="7"/>
      <c r="O69" s="8"/>
      <c r="P69" s="7"/>
      <c r="Q69" s="7"/>
      <c r="R69" s="8"/>
      <c r="S69" s="7"/>
      <c r="T69" s="7"/>
      <c r="U69" s="8"/>
      <c r="V69" s="7"/>
      <c r="W69" s="7">
        <v>7350</v>
      </c>
      <c r="X69" s="8">
        <v>3.33</v>
      </c>
      <c r="Y69" s="7">
        <v>2205</v>
      </c>
    </row>
    <row r="70" spans="1:25" x14ac:dyDescent="0.25" outlineLevel="3" collapsed="1">
      <c r="A70" s="11" t="s">
        <v>94</v>
      </c>
      <c r="B70" s="11"/>
      <c r="C70" s="11"/>
      <c r="D70" s="11"/>
      <c r="E70" s="7">
        <v>16800</v>
      </c>
      <c r="F70" s="8">
        <v>3.33</v>
      </c>
      <c r="G70" s="7">
        <v>5040</v>
      </c>
      <c r="H70" s="7"/>
      <c r="I70" s="8"/>
      <c r="J70" s="7"/>
      <c r="K70" s="7"/>
      <c r="L70" s="8"/>
      <c r="M70" s="7"/>
      <c r="N70" s="7"/>
      <c r="O70" s="8"/>
      <c r="P70" s="7"/>
      <c r="Q70" s="7"/>
      <c r="R70" s="8"/>
      <c r="S70" s="7"/>
      <c r="T70" s="7"/>
      <c r="U70" s="8"/>
      <c r="V70" s="7"/>
      <c r="W70" s="7">
        <v>16800</v>
      </c>
      <c r="X70" s="8">
        <v>3.33</v>
      </c>
      <c r="Y70" s="7">
        <v>5040</v>
      </c>
    </row>
    <row r="71" spans="1:25" x14ac:dyDescent="0.25" outlineLevel="3" collapsed="1">
      <c r="A71" s="11" t="s">
        <v>95</v>
      </c>
      <c r="B71" s="11"/>
      <c r="C71" s="11"/>
      <c r="D71" s="11"/>
      <c r="E71" s="7">
        <v>19950</v>
      </c>
      <c r="F71" s="8">
        <v>6.83</v>
      </c>
      <c r="G71" s="7">
        <v>2920</v>
      </c>
      <c r="H71" s="7"/>
      <c r="I71" s="8"/>
      <c r="J71" s="7"/>
      <c r="K71" s="7"/>
      <c r="L71" s="8"/>
      <c r="M71" s="7"/>
      <c r="N71" s="7"/>
      <c r="O71" s="8"/>
      <c r="P71" s="7"/>
      <c r="Q71" s="7"/>
      <c r="R71" s="8"/>
      <c r="S71" s="7"/>
      <c r="T71" s="7"/>
      <c r="U71" s="8"/>
      <c r="V71" s="7"/>
      <c r="W71" s="7">
        <v>19950</v>
      </c>
      <c r="X71" s="8">
        <v>6.83</v>
      </c>
      <c r="Y71" s="7">
        <v>2920</v>
      </c>
    </row>
    <row r="72" spans="1:25" x14ac:dyDescent="0.25" outlineLevel="3" collapsed="1">
      <c r="A72" s="11" t="s">
        <v>96</v>
      </c>
      <c r="B72" s="11"/>
      <c r="C72" s="11"/>
      <c r="D72" s="11"/>
      <c r="E72" s="7"/>
      <c r="F72" s="8"/>
      <c r="G72" s="7"/>
      <c r="H72" s="7"/>
      <c r="I72" s="8"/>
      <c r="J72" s="7"/>
      <c r="K72" s="7"/>
      <c r="L72" s="8"/>
      <c r="M72" s="7"/>
      <c r="N72" s="7"/>
      <c r="O72" s="8"/>
      <c r="P72" s="7"/>
      <c r="Q72" s="7">
        <v>14700</v>
      </c>
      <c r="R72" s="8">
        <v>4.17</v>
      </c>
      <c r="S72" s="7">
        <v>3528</v>
      </c>
      <c r="T72" s="7"/>
      <c r="U72" s="8"/>
      <c r="V72" s="7"/>
      <c r="W72" s="7">
        <v>14700</v>
      </c>
      <c r="X72" s="8">
        <v>4.17</v>
      </c>
      <c r="Y72" s="7">
        <v>3528</v>
      </c>
    </row>
    <row r="73" spans="1:25" x14ac:dyDescent="0.25" outlineLevel="3" collapsed="1">
      <c r="A73" s="11" t="s">
        <v>97</v>
      </c>
      <c r="B73" s="11"/>
      <c r="C73" s="11"/>
      <c r="D73" s="11"/>
      <c r="E73" s="7"/>
      <c r="F73" s="8"/>
      <c r="G73" s="7"/>
      <c r="H73" s="7"/>
      <c r="I73" s="8"/>
      <c r="J73" s="7"/>
      <c r="K73" s="7"/>
      <c r="L73" s="8"/>
      <c r="M73" s="7"/>
      <c r="N73" s="7"/>
      <c r="O73" s="8"/>
      <c r="P73" s="7"/>
      <c r="Q73" s="7">
        <v>14700</v>
      </c>
      <c r="R73" s="8">
        <v>3.25</v>
      </c>
      <c r="S73" s="7">
        <v>4523</v>
      </c>
      <c r="T73" s="7"/>
      <c r="U73" s="8"/>
      <c r="V73" s="7"/>
      <c r="W73" s="7">
        <v>14700</v>
      </c>
      <c r="X73" s="8">
        <v>3.25</v>
      </c>
      <c r="Y73" s="7">
        <v>4523</v>
      </c>
    </row>
    <row r="74" spans="1:25" x14ac:dyDescent="0.25" outlineLevel="3" collapsed="1">
      <c r="A74" s="11" t="s">
        <v>98</v>
      </c>
      <c r="B74" s="11"/>
      <c r="C74" s="11"/>
      <c r="D74" s="11"/>
      <c r="E74" s="7"/>
      <c r="F74" s="8"/>
      <c r="G74" s="7"/>
      <c r="H74" s="7"/>
      <c r="I74" s="8"/>
      <c r="J74" s="7"/>
      <c r="K74" s="7">
        <v>20475</v>
      </c>
      <c r="L74" s="8">
        <v>3.17</v>
      </c>
      <c r="M74" s="7">
        <v>6466</v>
      </c>
      <c r="N74" s="7"/>
      <c r="O74" s="8"/>
      <c r="P74" s="7"/>
      <c r="Q74" s="7"/>
      <c r="R74" s="8"/>
      <c r="S74" s="7"/>
      <c r="T74" s="7"/>
      <c r="U74" s="8"/>
      <c r="V74" s="7"/>
      <c r="W74" s="7">
        <v>20475</v>
      </c>
      <c r="X74" s="8">
        <v>3.17</v>
      </c>
      <c r="Y74" s="7">
        <v>6466</v>
      </c>
    </row>
    <row r="75" spans="1:25" x14ac:dyDescent="0.25" outlineLevel="3" collapsed="1">
      <c r="A75" s="11" t="s">
        <v>99</v>
      </c>
      <c r="B75" s="11"/>
      <c r="C75" s="11"/>
      <c r="D75" s="11"/>
      <c r="E75" s="7"/>
      <c r="F75" s="8"/>
      <c r="G75" s="7"/>
      <c r="H75" s="7"/>
      <c r="I75" s="8"/>
      <c r="J75" s="7"/>
      <c r="K75" s="7"/>
      <c r="L75" s="8"/>
      <c r="M75" s="7"/>
      <c r="N75" s="7"/>
      <c r="O75" s="8"/>
      <c r="P75" s="7"/>
      <c r="Q75" s="7">
        <v>12851</v>
      </c>
      <c r="R75" s="8">
        <v>0.25</v>
      </c>
      <c r="S75" s="7">
        <v>51404</v>
      </c>
      <c r="T75" s="7"/>
      <c r="U75" s="8"/>
      <c r="V75" s="7"/>
      <c r="W75" s="7">
        <v>12851</v>
      </c>
      <c r="X75" s="8">
        <v>0.25</v>
      </c>
      <c r="Y75" s="7">
        <v>51404</v>
      </c>
    </row>
    <row r="76" spans="1:25" x14ac:dyDescent="0.25" outlineLevel="3" collapsed="1">
      <c r="A76" s="11" t="s">
        <v>100</v>
      </c>
      <c r="B76" s="11"/>
      <c r="C76" s="11"/>
      <c r="D76" s="11"/>
      <c r="E76" s="7"/>
      <c r="F76" s="8"/>
      <c r="G76" s="7"/>
      <c r="H76" s="7"/>
      <c r="I76" s="8"/>
      <c r="J76" s="7"/>
      <c r="K76" s="7"/>
      <c r="L76" s="8"/>
      <c r="M76" s="7"/>
      <c r="N76" s="7"/>
      <c r="O76" s="8"/>
      <c r="P76" s="7"/>
      <c r="Q76" s="7">
        <v>3000</v>
      </c>
      <c r="R76" s="8">
        <v>0.25</v>
      </c>
      <c r="S76" s="7">
        <v>12000</v>
      </c>
      <c r="T76" s="7"/>
      <c r="U76" s="8"/>
      <c r="V76" s="7"/>
      <c r="W76" s="7">
        <v>3000</v>
      </c>
      <c r="X76" s="8">
        <v>0.25</v>
      </c>
      <c r="Y76" s="7">
        <v>12000</v>
      </c>
    </row>
    <row r="77" spans="1:25" x14ac:dyDescent="0.25" outlineLevel="3" collapsed="1">
      <c r="A77" s="11" t="s">
        <v>101</v>
      </c>
      <c r="B77" s="11"/>
      <c r="C77" s="11"/>
      <c r="D77" s="11"/>
      <c r="E77" s="7"/>
      <c r="F77" s="8"/>
      <c r="G77" s="7"/>
      <c r="H77" s="7"/>
      <c r="I77" s="8"/>
      <c r="J77" s="7"/>
      <c r="K77" s="7"/>
      <c r="L77" s="8"/>
      <c r="M77" s="7"/>
      <c r="N77" s="7"/>
      <c r="O77" s="8"/>
      <c r="P77" s="7"/>
      <c r="Q77" s="7">
        <v>3000</v>
      </c>
      <c r="R77" s="8">
        <v>0.25</v>
      </c>
      <c r="S77" s="7">
        <v>12000</v>
      </c>
      <c r="T77" s="7"/>
      <c r="U77" s="8"/>
      <c r="V77" s="7"/>
      <c r="W77" s="7">
        <v>3000</v>
      </c>
      <c r="X77" s="8">
        <v>0.25</v>
      </c>
      <c r="Y77" s="7">
        <v>12000</v>
      </c>
    </row>
    <row r="78" spans="1:25" x14ac:dyDescent="0.25" outlineLevel="3" collapsed="1">
      <c r="A78" s="11" t="s">
        <v>102</v>
      </c>
      <c r="B78" s="11"/>
      <c r="C78" s="11"/>
      <c r="D78" s="11"/>
      <c r="E78" s="7"/>
      <c r="F78" s="8"/>
      <c r="G78" s="7"/>
      <c r="H78" s="7"/>
      <c r="I78" s="8"/>
      <c r="J78" s="7"/>
      <c r="K78" s="7"/>
      <c r="L78" s="8"/>
      <c r="M78" s="7"/>
      <c r="N78" s="7"/>
      <c r="O78" s="8"/>
      <c r="P78" s="7"/>
      <c r="Q78" s="7">
        <v>3000</v>
      </c>
      <c r="R78" s="8">
        <v>0.25</v>
      </c>
      <c r="S78" s="7">
        <v>12000</v>
      </c>
      <c r="T78" s="7"/>
      <c r="U78" s="8"/>
      <c r="V78" s="7"/>
      <c r="W78" s="7">
        <v>3000</v>
      </c>
      <c r="X78" s="8">
        <v>0.25</v>
      </c>
      <c r="Y78" s="7">
        <v>12000</v>
      </c>
    </row>
    <row r="79" spans="1:25" x14ac:dyDescent="0.25" outlineLevel="3" collapsed="1">
      <c r="A79" s="11" t="s">
        <v>103</v>
      </c>
      <c r="B79" s="11"/>
      <c r="C79" s="11"/>
      <c r="D79" s="11"/>
      <c r="E79" s="7"/>
      <c r="F79" s="8"/>
      <c r="G79" s="7"/>
      <c r="H79" s="7">
        <v>14700</v>
      </c>
      <c r="I79" s="8">
        <v>2.83</v>
      </c>
      <c r="J79" s="7">
        <v>5188</v>
      </c>
      <c r="K79" s="7"/>
      <c r="L79" s="8"/>
      <c r="M79" s="7"/>
      <c r="N79" s="7"/>
      <c r="O79" s="8"/>
      <c r="P79" s="7"/>
      <c r="Q79" s="7"/>
      <c r="R79" s="8"/>
      <c r="S79" s="7"/>
      <c r="T79" s="7"/>
      <c r="U79" s="8"/>
      <c r="V79" s="7"/>
      <c r="W79" s="7">
        <v>14700</v>
      </c>
      <c r="X79" s="8">
        <v>2.83</v>
      </c>
      <c r="Y79" s="7">
        <v>5188</v>
      </c>
    </row>
    <row r="80" spans="1:25" x14ac:dyDescent="0.25" outlineLevel="3" collapsed="1">
      <c r="A80" s="11" t="s">
        <v>104</v>
      </c>
      <c r="B80" s="11"/>
      <c r="C80" s="11"/>
      <c r="D80" s="11"/>
      <c r="E80" s="7"/>
      <c r="F80" s="8"/>
      <c r="G80" s="7"/>
      <c r="H80" s="7"/>
      <c r="I80" s="8">
        <v>0.67</v>
      </c>
      <c r="J80" s="7"/>
      <c r="K80" s="7"/>
      <c r="L80" s="8"/>
      <c r="M80" s="7"/>
      <c r="N80" s="7"/>
      <c r="O80" s="8"/>
      <c r="P80" s="7"/>
      <c r="Q80" s="7"/>
      <c r="R80" s="8"/>
      <c r="S80" s="7"/>
      <c r="T80" s="7"/>
      <c r="U80" s="8"/>
      <c r="V80" s="7"/>
      <c r="W80" s="7"/>
      <c r="X80" s="8">
        <v>0.67</v>
      </c>
      <c r="Y80" s="7"/>
    </row>
    <row r="81" spans="1:25" x14ac:dyDescent="0.25" outlineLevel="3" collapsed="1">
      <c r="A81" s="11" t="s">
        <v>105</v>
      </c>
      <c r="B81" s="11"/>
      <c r="C81" s="11"/>
      <c r="D81" s="11"/>
      <c r="E81" s="7"/>
      <c r="F81" s="8"/>
      <c r="G81" s="7"/>
      <c r="H81" s="7">
        <v>14700</v>
      </c>
      <c r="I81" s="8">
        <v>3.5</v>
      </c>
      <c r="J81" s="7">
        <v>4200</v>
      </c>
      <c r="K81" s="7"/>
      <c r="L81" s="8"/>
      <c r="M81" s="7"/>
      <c r="N81" s="7"/>
      <c r="O81" s="8"/>
      <c r="P81" s="7"/>
      <c r="Q81" s="7"/>
      <c r="R81" s="8"/>
      <c r="S81" s="7"/>
      <c r="T81" s="7"/>
      <c r="U81" s="8"/>
      <c r="V81" s="7"/>
      <c r="W81" s="7">
        <v>14700</v>
      </c>
      <c r="X81" s="8">
        <v>3.5</v>
      </c>
      <c r="Y81" s="7">
        <v>4200</v>
      </c>
    </row>
    <row r="82" spans="1:25" x14ac:dyDescent="0.25" outlineLevel="3" collapsed="1">
      <c r="A82" s="11" t="s">
        <v>106</v>
      </c>
      <c r="B82" s="11"/>
      <c r="C82" s="11"/>
      <c r="D82" s="11"/>
      <c r="E82" s="7"/>
      <c r="F82" s="8"/>
      <c r="G82" s="7"/>
      <c r="H82" s="7"/>
      <c r="I82" s="8"/>
      <c r="J82" s="7"/>
      <c r="K82" s="7"/>
      <c r="L82" s="8"/>
      <c r="M82" s="7"/>
      <c r="N82" s="7">
        <v>14700</v>
      </c>
      <c r="O82" s="8">
        <v>2.17</v>
      </c>
      <c r="P82" s="7">
        <v>6785</v>
      </c>
      <c r="Q82" s="7"/>
      <c r="R82" s="8"/>
      <c r="S82" s="7"/>
      <c r="T82" s="7"/>
      <c r="U82" s="8"/>
      <c r="V82" s="7"/>
      <c r="W82" s="7">
        <v>14700</v>
      </c>
      <c r="X82" s="8">
        <v>2.17</v>
      </c>
      <c r="Y82" s="7">
        <v>6785</v>
      </c>
    </row>
    <row r="83" spans="1:25" x14ac:dyDescent="0.25" outlineLevel="3" collapsed="1">
      <c r="A83" s="11" t="s">
        <v>107</v>
      </c>
      <c r="B83" s="11"/>
      <c r="C83" s="11"/>
      <c r="D83" s="11"/>
      <c r="E83" s="7"/>
      <c r="F83" s="8"/>
      <c r="G83" s="7"/>
      <c r="H83" s="7"/>
      <c r="I83" s="8"/>
      <c r="J83" s="7"/>
      <c r="K83" s="7">
        <v>18375</v>
      </c>
      <c r="L83" s="8">
        <v>3</v>
      </c>
      <c r="M83" s="7">
        <v>6125</v>
      </c>
      <c r="N83" s="7"/>
      <c r="O83" s="8"/>
      <c r="P83" s="7"/>
      <c r="Q83" s="7"/>
      <c r="R83" s="8"/>
      <c r="S83" s="7"/>
      <c r="T83" s="7"/>
      <c r="U83" s="8"/>
      <c r="V83" s="7"/>
      <c r="W83" s="7">
        <v>18375</v>
      </c>
      <c r="X83" s="8">
        <v>3</v>
      </c>
      <c r="Y83" s="7">
        <v>6125</v>
      </c>
    </row>
    <row r="84" spans="1:25" x14ac:dyDescent="0.25" outlineLevel="3" collapsed="1">
      <c r="A84" s="11" t="s">
        <v>108</v>
      </c>
      <c r="B84" s="11"/>
      <c r="C84" s="11"/>
      <c r="D84" s="11"/>
      <c r="E84" s="7"/>
      <c r="F84" s="8"/>
      <c r="G84" s="7"/>
      <c r="H84" s="7"/>
      <c r="I84" s="8"/>
      <c r="J84" s="7"/>
      <c r="K84" s="7"/>
      <c r="L84" s="8"/>
      <c r="M84" s="7"/>
      <c r="N84" s="7">
        <v>14700</v>
      </c>
      <c r="O84" s="8">
        <v>3.58</v>
      </c>
      <c r="P84" s="7">
        <v>4102</v>
      </c>
      <c r="Q84" s="7"/>
      <c r="R84" s="8"/>
      <c r="S84" s="7"/>
      <c r="T84" s="7"/>
      <c r="U84" s="8"/>
      <c r="V84" s="7"/>
      <c r="W84" s="7">
        <v>14700</v>
      </c>
      <c r="X84" s="8">
        <v>3.58</v>
      </c>
      <c r="Y84" s="7">
        <v>4102</v>
      </c>
    </row>
    <row r="85" spans="1:25" x14ac:dyDescent="0.25" outlineLevel="1">
      <c r="A85" s="6" t="s">
        <v>109</v>
      </c>
      <c r="B85" s="6"/>
      <c r="C85" s="6"/>
      <c r="D85" s="6"/>
      <c r="E85" s="7">
        <f>SUM(E86,E101)</f>
        <v>50925</v>
      </c>
      <c r="F85" s="8">
        <f>SUM(F86,F101)</f>
        <v>16.83</v>
      </c>
      <c r="G85" s="7">
        <f>IF(F85=0,"",ROUND(E85/F85,0))</f>
        <v>3025</v>
      </c>
      <c r="H85" s="7">
        <f>SUM(H86,H101)</f>
        <v>36750</v>
      </c>
      <c r="I85" s="8">
        <f>SUM(I86,I101)</f>
        <v>16.33</v>
      </c>
      <c r="J85" s="7">
        <f>IF(I85=0,"",ROUND(H85/I85,0))</f>
        <v>2250</v>
      </c>
      <c r="K85" s="7">
        <f>SUM(K86,K101)</f>
        <v>51975</v>
      </c>
      <c r="L85" s="8">
        <f>SUM(L86,L101)</f>
        <v>16.33</v>
      </c>
      <c r="M85" s="7">
        <f>IF(L85=0,"",ROUND(K85/L85,0))</f>
        <v>3182</v>
      </c>
      <c r="N85" s="7">
        <f>SUM(N86,N101)</f>
        <v>29400</v>
      </c>
      <c r="O85" s="8">
        <f>SUM(O86,O101)</f>
        <v>15.67</v>
      </c>
      <c r="P85" s="7">
        <f>IF(O85=0,"",ROUND(N85/O85,0))</f>
        <v>1877</v>
      </c>
      <c r="Q85" s="7">
        <f>SUM(Q86,Q101)</f>
        <v>29400</v>
      </c>
      <c r="R85" s="8">
        <f>SUM(R86,R101)</f>
        <v>16.67</v>
      </c>
      <c r="S85" s="7">
        <f>IF(R85=0,"",ROUND(Q85/R85,0))</f>
        <v>1764</v>
      </c>
      <c r="T85" s="7">
        <f>SUM(T86,T101)</f>
        <v>0</v>
      </c>
      <c r="U85" s="8">
        <f>SUM(U86,U101)</f>
        <v>0</v>
      </c>
      <c r="V85" s="7">
        <f>IF(U85=0,"",ROUND(T85/U85,0))</f>
        <v>0</v>
      </c>
      <c r="W85" s="7">
        <f>SUM(W86,W101)</f>
        <v>198450</v>
      </c>
      <c r="X85" s="8">
        <f>SUM(X86,X101)</f>
        <v>81.83</v>
      </c>
      <c r="Y85" s="7">
        <f>IF(X85=0,"",ROUND(W85/X85,0))</f>
        <v>2425</v>
      </c>
    </row>
    <row r="86" spans="1:25" x14ac:dyDescent="0.25" outlineLevel="2">
      <c r="A86" s="9" t="s">
        <v>110</v>
      </c>
      <c r="B86" s="9"/>
      <c r="C86" s="9"/>
      <c r="D86" s="9"/>
      <c r="E86" s="7">
        <v>50925</v>
      </c>
      <c r="F86" s="8">
        <v>8.83</v>
      </c>
      <c r="G86" s="7">
        <v>5765</v>
      </c>
      <c r="H86" s="7">
        <v>36750</v>
      </c>
      <c r="I86" s="8">
        <v>8.33</v>
      </c>
      <c r="J86" s="7">
        <v>4410</v>
      </c>
      <c r="K86" s="7">
        <v>51975</v>
      </c>
      <c r="L86" s="8">
        <v>8.33</v>
      </c>
      <c r="M86" s="7">
        <v>6237</v>
      </c>
      <c r="N86" s="7">
        <v>29400</v>
      </c>
      <c r="O86" s="8">
        <v>7.67</v>
      </c>
      <c r="P86" s="7">
        <v>3835</v>
      </c>
      <c r="Q86" s="7">
        <v>29400</v>
      </c>
      <c r="R86" s="8">
        <v>7.67</v>
      </c>
      <c r="S86" s="7">
        <v>3835</v>
      </c>
      <c r="T86" s="7"/>
      <c r="U86" s="8"/>
      <c r="V86" s="7"/>
      <c r="W86" s="7">
        <v>198450</v>
      </c>
      <c r="X86" s="8">
        <v>40.83</v>
      </c>
      <c r="Y86" s="7">
        <v>4860</v>
      </c>
    </row>
    <row r="87" spans="1:25" x14ac:dyDescent="0.25" outlineLevel="2">
      <c r="A87" s="9" t="s">
        <v>14</v>
      </c>
      <c r="B87" s="9"/>
      <c r="C87" s="9"/>
      <c r="D87" s="9"/>
      <c r="E87" s="10" t="s">
        <v>111</v>
      </c>
      <c r="F87" s="10"/>
      <c r="G87" s="10"/>
      <c r="H87" s="10" t="s">
        <v>112</v>
      </c>
      <c r="I87" s="10"/>
      <c r="J87" s="10"/>
      <c r="K87" s="10" t="s">
        <v>113</v>
      </c>
      <c r="L87" s="10"/>
      <c r="M87" s="10"/>
      <c r="N87" s="10" t="s">
        <v>114</v>
      </c>
      <c r="O87" s="10"/>
      <c r="P87" s="10"/>
      <c r="Q87" s="10" t="s">
        <v>115</v>
      </c>
      <c r="R87" s="10"/>
      <c r="S87" s="10"/>
      <c r="W87" s="10" t="s">
        <v>116</v>
      </c>
      <c r="X87" s="10"/>
      <c r="Y87" s="10"/>
    </row>
    <row r="88" spans="1:25" x14ac:dyDescent="0.25" outlineLevel="3" collapsed="1">
      <c r="A88" s="11" t="s">
        <v>117</v>
      </c>
      <c r="B88" s="11"/>
      <c r="C88" s="11"/>
      <c r="D88" s="11"/>
      <c r="E88" s="7">
        <v>18375</v>
      </c>
      <c r="F88" s="8">
        <v>3.5</v>
      </c>
      <c r="G88" s="7">
        <v>5250</v>
      </c>
      <c r="H88" s="7"/>
      <c r="I88" s="8"/>
      <c r="J88" s="7"/>
      <c r="K88" s="7"/>
      <c r="L88" s="8"/>
      <c r="M88" s="7"/>
      <c r="N88" s="7"/>
      <c r="O88" s="8"/>
      <c r="P88" s="7"/>
      <c r="Q88" s="7"/>
      <c r="R88" s="8"/>
      <c r="S88" s="7"/>
      <c r="T88" s="7"/>
      <c r="U88" s="8"/>
      <c r="V88" s="7"/>
      <c r="W88" s="7">
        <v>18375</v>
      </c>
      <c r="X88" s="8">
        <v>3.5</v>
      </c>
      <c r="Y88" s="7">
        <v>5250</v>
      </c>
    </row>
    <row r="89" spans="1:25" x14ac:dyDescent="0.25" outlineLevel="3" collapsed="1">
      <c r="A89" s="11" t="s">
        <v>118</v>
      </c>
      <c r="B89" s="11"/>
      <c r="C89" s="11"/>
      <c r="D89" s="11"/>
      <c r="E89" s="7">
        <v>14700</v>
      </c>
      <c r="F89" s="8">
        <v>2.33</v>
      </c>
      <c r="G89" s="7">
        <v>6300</v>
      </c>
      <c r="H89" s="7"/>
      <c r="I89" s="8"/>
      <c r="J89" s="7"/>
      <c r="K89" s="7"/>
      <c r="L89" s="8"/>
      <c r="M89" s="7"/>
      <c r="N89" s="7"/>
      <c r="O89" s="8"/>
      <c r="P89" s="7"/>
      <c r="Q89" s="7"/>
      <c r="R89" s="8"/>
      <c r="S89" s="7"/>
      <c r="T89" s="7"/>
      <c r="U89" s="8"/>
      <c r="V89" s="7"/>
      <c r="W89" s="7">
        <v>14700</v>
      </c>
      <c r="X89" s="8">
        <v>2.33</v>
      </c>
      <c r="Y89" s="7">
        <v>6300</v>
      </c>
    </row>
    <row r="90" spans="1:25" x14ac:dyDescent="0.25" outlineLevel="3" collapsed="1">
      <c r="A90" s="11" t="s">
        <v>119</v>
      </c>
      <c r="B90" s="11"/>
      <c r="C90" s="11"/>
      <c r="D90" s="11"/>
      <c r="E90" s="7">
        <v>3150</v>
      </c>
      <c r="F90" s="8">
        <v>0.5</v>
      </c>
      <c r="G90" s="7">
        <v>6300</v>
      </c>
      <c r="H90" s="7"/>
      <c r="I90" s="8"/>
      <c r="J90" s="7"/>
      <c r="K90" s="7"/>
      <c r="L90" s="8"/>
      <c r="M90" s="7"/>
      <c r="N90" s="7"/>
      <c r="O90" s="8"/>
      <c r="P90" s="7"/>
      <c r="Q90" s="7"/>
      <c r="R90" s="8"/>
      <c r="S90" s="7"/>
      <c r="T90" s="7"/>
      <c r="U90" s="8"/>
      <c r="V90" s="7"/>
      <c r="W90" s="7">
        <v>3150</v>
      </c>
      <c r="X90" s="8">
        <v>0.5</v>
      </c>
      <c r="Y90" s="7">
        <v>6300</v>
      </c>
    </row>
    <row r="91" spans="1:25" x14ac:dyDescent="0.25" outlineLevel="3" collapsed="1">
      <c r="A91" s="11" t="s">
        <v>120</v>
      </c>
      <c r="B91" s="11"/>
      <c r="C91" s="11"/>
      <c r="D91" s="11"/>
      <c r="E91" s="7"/>
      <c r="F91" s="8"/>
      <c r="G91" s="7"/>
      <c r="H91" s="7"/>
      <c r="I91" s="8"/>
      <c r="J91" s="7"/>
      <c r="K91" s="7">
        <v>14700</v>
      </c>
      <c r="L91" s="8">
        <v>1.83</v>
      </c>
      <c r="M91" s="7">
        <v>8018</v>
      </c>
      <c r="N91" s="7"/>
      <c r="O91" s="8"/>
      <c r="P91" s="7"/>
      <c r="Q91" s="7"/>
      <c r="R91" s="8"/>
      <c r="S91" s="7"/>
      <c r="T91" s="7"/>
      <c r="U91" s="8"/>
      <c r="V91" s="7"/>
      <c r="W91" s="7">
        <v>14700</v>
      </c>
      <c r="X91" s="8">
        <v>1.83</v>
      </c>
      <c r="Y91" s="7">
        <v>8018</v>
      </c>
    </row>
    <row r="92" spans="1:25" x14ac:dyDescent="0.25" outlineLevel="3" collapsed="1">
      <c r="A92" s="11" t="s">
        <v>121</v>
      </c>
      <c r="B92" s="11"/>
      <c r="C92" s="11"/>
      <c r="D92" s="11"/>
      <c r="E92" s="7"/>
      <c r="F92" s="8"/>
      <c r="G92" s="7"/>
      <c r="H92" s="7"/>
      <c r="I92" s="8"/>
      <c r="J92" s="7"/>
      <c r="K92" s="7">
        <v>16800</v>
      </c>
      <c r="L92" s="8">
        <v>2.83</v>
      </c>
      <c r="M92" s="7">
        <v>5929</v>
      </c>
      <c r="N92" s="7"/>
      <c r="O92" s="8"/>
      <c r="P92" s="7"/>
      <c r="Q92" s="7"/>
      <c r="R92" s="8"/>
      <c r="S92" s="7"/>
      <c r="T92" s="7"/>
      <c r="U92" s="8"/>
      <c r="V92" s="7"/>
      <c r="W92" s="7">
        <v>16800</v>
      </c>
      <c r="X92" s="8">
        <v>2.83</v>
      </c>
      <c r="Y92" s="7">
        <v>5929</v>
      </c>
    </row>
    <row r="93" spans="1:25" x14ac:dyDescent="0.25" outlineLevel="3" collapsed="1">
      <c r="A93" s="11" t="s">
        <v>122</v>
      </c>
      <c r="B93" s="11"/>
      <c r="C93" s="11"/>
      <c r="D93" s="11"/>
      <c r="E93" s="7"/>
      <c r="F93" s="8"/>
      <c r="G93" s="7"/>
      <c r="H93" s="7"/>
      <c r="I93" s="8"/>
      <c r="J93" s="7"/>
      <c r="K93" s="7">
        <v>20475</v>
      </c>
      <c r="L93" s="8">
        <v>3.67</v>
      </c>
      <c r="M93" s="7">
        <v>5584</v>
      </c>
      <c r="N93" s="7"/>
      <c r="O93" s="8"/>
      <c r="P93" s="7"/>
      <c r="Q93" s="7"/>
      <c r="R93" s="8"/>
      <c r="S93" s="7"/>
      <c r="T93" s="7"/>
      <c r="U93" s="8"/>
      <c r="V93" s="7"/>
      <c r="W93" s="7">
        <v>20475</v>
      </c>
      <c r="X93" s="8">
        <v>3.67</v>
      </c>
      <c r="Y93" s="7">
        <v>5584</v>
      </c>
    </row>
    <row r="94" spans="1:25" x14ac:dyDescent="0.25" outlineLevel="3" collapsed="1">
      <c r="A94" s="11" t="s">
        <v>123</v>
      </c>
      <c r="B94" s="11"/>
      <c r="C94" s="11"/>
      <c r="D94" s="11"/>
      <c r="E94" s="7">
        <v>14700</v>
      </c>
      <c r="F94" s="8">
        <v>2.5</v>
      </c>
      <c r="G94" s="7">
        <v>5880</v>
      </c>
      <c r="H94" s="7"/>
      <c r="I94" s="8"/>
      <c r="J94" s="7"/>
      <c r="K94" s="7"/>
      <c r="L94" s="8"/>
      <c r="M94" s="7"/>
      <c r="N94" s="7"/>
      <c r="O94" s="8"/>
      <c r="P94" s="7"/>
      <c r="Q94" s="7"/>
      <c r="R94" s="8"/>
      <c r="S94" s="7"/>
      <c r="T94" s="7"/>
      <c r="U94" s="8"/>
      <c r="V94" s="7"/>
      <c r="W94" s="7">
        <v>14700</v>
      </c>
      <c r="X94" s="8">
        <v>2.5</v>
      </c>
      <c r="Y94" s="7">
        <v>5880</v>
      </c>
    </row>
    <row r="95" spans="1:25" x14ac:dyDescent="0.25" outlineLevel="3" collapsed="1">
      <c r="A95" s="11" t="s">
        <v>124</v>
      </c>
      <c r="B95" s="11"/>
      <c r="C95" s="11"/>
      <c r="D95" s="11"/>
      <c r="E95" s="7"/>
      <c r="F95" s="8"/>
      <c r="G95" s="7"/>
      <c r="H95" s="7">
        <v>16800</v>
      </c>
      <c r="I95" s="8">
        <v>2.83</v>
      </c>
      <c r="J95" s="7">
        <v>5929</v>
      </c>
      <c r="K95" s="7"/>
      <c r="L95" s="8"/>
      <c r="M95" s="7"/>
      <c r="N95" s="7"/>
      <c r="O95" s="8"/>
      <c r="P95" s="7"/>
      <c r="Q95" s="7"/>
      <c r="R95" s="8"/>
      <c r="S95" s="7"/>
      <c r="T95" s="7"/>
      <c r="U95" s="8"/>
      <c r="V95" s="7"/>
      <c r="W95" s="7">
        <v>16800</v>
      </c>
      <c r="X95" s="8">
        <v>2.83</v>
      </c>
      <c r="Y95" s="7">
        <v>5929</v>
      </c>
    </row>
    <row r="96" spans="1:25" x14ac:dyDescent="0.25" outlineLevel="3" collapsed="1">
      <c r="A96" s="11" t="s">
        <v>125</v>
      </c>
      <c r="B96" s="11"/>
      <c r="C96" s="11"/>
      <c r="D96" s="11"/>
      <c r="E96" s="7"/>
      <c r="F96" s="8"/>
      <c r="G96" s="7"/>
      <c r="H96" s="7">
        <v>19950</v>
      </c>
      <c r="I96" s="8">
        <v>5.5</v>
      </c>
      <c r="J96" s="7">
        <v>3627</v>
      </c>
      <c r="K96" s="7"/>
      <c r="L96" s="8"/>
      <c r="M96" s="7"/>
      <c r="N96" s="7"/>
      <c r="O96" s="8"/>
      <c r="P96" s="7"/>
      <c r="Q96" s="7"/>
      <c r="R96" s="8"/>
      <c r="S96" s="7"/>
      <c r="T96" s="7"/>
      <c r="U96" s="8"/>
      <c r="V96" s="7"/>
      <c r="W96" s="7">
        <v>19950</v>
      </c>
      <c r="X96" s="8">
        <v>5.5</v>
      </c>
      <c r="Y96" s="7">
        <v>3627</v>
      </c>
    </row>
    <row r="97" spans="1:25" x14ac:dyDescent="0.25" outlineLevel="3" collapsed="1">
      <c r="A97" s="11" t="s">
        <v>126</v>
      </c>
      <c r="B97" s="11"/>
      <c r="C97" s="11"/>
      <c r="D97" s="11"/>
      <c r="E97" s="7"/>
      <c r="F97" s="8"/>
      <c r="G97" s="7"/>
      <c r="H97" s="7"/>
      <c r="I97" s="8"/>
      <c r="J97" s="7"/>
      <c r="K97" s="7"/>
      <c r="L97" s="8"/>
      <c r="M97" s="7"/>
      <c r="N97" s="7"/>
      <c r="O97" s="8"/>
      <c r="P97" s="7"/>
      <c r="Q97" s="7">
        <v>14700</v>
      </c>
      <c r="R97" s="8">
        <v>3.5</v>
      </c>
      <c r="S97" s="7">
        <v>4200</v>
      </c>
      <c r="T97" s="7"/>
      <c r="U97" s="8"/>
      <c r="V97" s="7"/>
      <c r="W97" s="7">
        <v>14700</v>
      </c>
      <c r="X97" s="8">
        <v>3.5</v>
      </c>
      <c r="Y97" s="7">
        <v>4200</v>
      </c>
    </row>
    <row r="98" spans="1:25" x14ac:dyDescent="0.25" outlineLevel="3" collapsed="1">
      <c r="A98" s="11" t="s">
        <v>127</v>
      </c>
      <c r="B98" s="11"/>
      <c r="C98" s="11"/>
      <c r="D98" s="11"/>
      <c r="E98" s="7"/>
      <c r="F98" s="8"/>
      <c r="G98" s="7"/>
      <c r="H98" s="7"/>
      <c r="I98" s="8"/>
      <c r="J98" s="7"/>
      <c r="K98" s="7"/>
      <c r="L98" s="8"/>
      <c r="M98" s="7"/>
      <c r="N98" s="7"/>
      <c r="O98" s="8"/>
      <c r="P98" s="7"/>
      <c r="Q98" s="7">
        <v>14700</v>
      </c>
      <c r="R98" s="8">
        <v>4.17</v>
      </c>
      <c r="S98" s="7">
        <v>3528</v>
      </c>
      <c r="T98" s="7"/>
      <c r="U98" s="8"/>
      <c r="V98" s="7"/>
      <c r="W98" s="7">
        <v>14700</v>
      </c>
      <c r="X98" s="8">
        <v>4.17</v>
      </c>
      <c r="Y98" s="7">
        <v>3528</v>
      </c>
    </row>
    <row r="99" spans="1:25" x14ac:dyDescent="0.25" outlineLevel="3" collapsed="1">
      <c r="A99" s="11" t="s">
        <v>128</v>
      </c>
      <c r="B99" s="11"/>
      <c r="C99" s="11"/>
      <c r="D99" s="11"/>
      <c r="E99" s="7"/>
      <c r="F99" s="8"/>
      <c r="G99" s="7"/>
      <c r="H99" s="7"/>
      <c r="I99" s="8"/>
      <c r="J99" s="7"/>
      <c r="K99" s="7"/>
      <c r="L99" s="8"/>
      <c r="M99" s="7"/>
      <c r="N99" s="7">
        <v>14700</v>
      </c>
      <c r="O99" s="8">
        <v>4.67</v>
      </c>
      <c r="P99" s="7">
        <v>3150</v>
      </c>
      <c r="Q99" s="7"/>
      <c r="R99" s="8"/>
      <c r="S99" s="7"/>
      <c r="T99" s="7"/>
      <c r="U99" s="8"/>
      <c r="V99" s="7"/>
      <c r="W99" s="7">
        <v>14700</v>
      </c>
      <c r="X99" s="8">
        <v>4.67</v>
      </c>
      <c r="Y99" s="7">
        <v>3150</v>
      </c>
    </row>
    <row r="100" spans="1:25" x14ac:dyDescent="0.25" outlineLevel="3" collapsed="1">
      <c r="A100" s="11" t="s">
        <v>129</v>
      </c>
      <c r="B100" s="11"/>
      <c r="C100" s="11"/>
      <c r="D100" s="11"/>
      <c r="E100" s="7"/>
      <c r="F100" s="8"/>
      <c r="G100" s="7"/>
      <c r="H100" s="7"/>
      <c r="I100" s="8"/>
      <c r="J100" s="7"/>
      <c r="K100" s="7"/>
      <c r="L100" s="8"/>
      <c r="M100" s="7"/>
      <c r="N100" s="7">
        <v>14700</v>
      </c>
      <c r="O100" s="8">
        <v>3</v>
      </c>
      <c r="P100" s="7">
        <v>4900</v>
      </c>
      <c r="Q100" s="7"/>
      <c r="R100" s="8"/>
      <c r="S100" s="7"/>
      <c r="T100" s="7"/>
      <c r="U100" s="8"/>
      <c r="V100" s="7"/>
      <c r="W100" s="7">
        <v>14700</v>
      </c>
      <c r="X100" s="8">
        <v>3</v>
      </c>
      <c r="Y100" s="7">
        <v>4900</v>
      </c>
    </row>
    <row r="101" spans="1:25" x14ac:dyDescent="0.25" outlineLevel="2">
      <c r="A101" s="9" t="s">
        <v>130</v>
      </c>
      <c r="B101" s="9"/>
      <c r="C101" s="9"/>
      <c r="D101" s="9"/>
      <c r="E101" s="7"/>
      <c r="F101" s="8">
        <v>8</v>
      </c>
      <c r="G101" s="7"/>
      <c r="H101" s="7"/>
      <c r="I101" s="8">
        <v>8</v>
      </c>
      <c r="J101" s="7"/>
      <c r="K101" s="7"/>
      <c r="L101" s="8">
        <v>8</v>
      </c>
      <c r="M101" s="7"/>
      <c r="N101" s="7"/>
      <c r="O101" s="8">
        <v>8</v>
      </c>
      <c r="P101" s="7"/>
      <c r="Q101" s="7"/>
      <c r="R101" s="8">
        <v>9</v>
      </c>
      <c r="S101" s="7"/>
      <c r="T101" s="7"/>
      <c r="U101" s="8"/>
      <c r="V101" s="7"/>
      <c r="W101" s="7"/>
      <c r="X101" s="8">
        <v>41</v>
      </c>
      <c r="Y101" s="7"/>
    </row>
    <row r="102" spans="1:25" x14ac:dyDescent="0.25" outlineLevel="2">
      <c r="A102" s="9" t="s">
        <v>14</v>
      </c>
      <c r="B102" s="9"/>
      <c r="C102" s="9"/>
      <c r="D102" s="9"/>
      <c r="E102" s="10" t="s">
        <v>131</v>
      </c>
      <c r="F102" s="10"/>
      <c r="G102" s="10"/>
      <c r="H102" s="10" t="s">
        <v>131</v>
      </c>
      <c r="I102" s="10"/>
      <c r="J102" s="10"/>
      <c r="K102" s="10" t="s">
        <v>131</v>
      </c>
      <c r="L102" s="10"/>
      <c r="M102" s="10"/>
      <c r="N102" s="10" t="s">
        <v>131</v>
      </c>
      <c r="O102" s="10"/>
      <c r="P102" s="10"/>
      <c r="Q102" s="10" t="s">
        <v>132</v>
      </c>
      <c r="R102" s="10"/>
      <c r="S102" s="10"/>
      <c r="W102" s="10" t="s">
        <v>133</v>
      </c>
      <c r="X102" s="10"/>
      <c r="Y102" s="10"/>
    </row>
    <row r="103" spans="1:25" x14ac:dyDescent="0.25" outlineLevel="3" collapsed="1">
      <c r="A103" s="11" t="s">
        <v>134</v>
      </c>
      <c r="B103" s="11"/>
      <c r="C103" s="11"/>
      <c r="D103" s="11"/>
      <c r="E103" s="7"/>
      <c r="F103" s="8"/>
      <c r="G103" s="7"/>
      <c r="H103" s="7"/>
      <c r="I103" s="8"/>
      <c r="J103" s="7"/>
      <c r="K103" s="7"/>
      <c r="L103" s="8"/>
      <c r="M103" s="7"/>
      <c r="N103" s="7"/>
      <c r="O103" s="8">
        <v>8</v>
      </c>
      <c r="P103" s="7"/>
      <c r="Q103" s="7"/>
      <c r="R103" s="8"/>
      <c r="S103" s="7"/>
      <c r="T103" s="7"/>
      <c r="U103" s="8"/>
      <c r="V103" s="7"/>
      <c r="W103" s="7"/>
      <c r="X103" s="8">
        <v>8</v>
      </c>
      <c r="Y103" s="7"/>
    </row>
    <row r="104" spans="1:25" x14ac:dyDescent="0.25" outlineLevel="3" collapsed="1">
      <c r="A104" s="11" t="s">
        <v>135</v>
      </c>
      <c r="B104" s="11"/>
      <c r="C104" s="11"/>
      <c r="D104" s="11"/>
      <c r="E104" s="7"/>
      <c r="F104" s="8">
        <v>8</v>
      </c>
      <c r="G104" s="7"/>
      <c r="H104" s="7"/>
      <c r="I104" s="8">
        <v>8</v>
      </c>
      <c r="J104" s="7"/>
      <c r="K104" s="7"/>
      <c r="L104" s="8">
        <v>8</v>
      </c>
      <c r="M104" s="7"/>
      <c r="N104" s="7"/>
      <c r="O104" s="8"/>
      <c r="P104" s="7"/>
      <c r="Q104" s="7"/>
      <c r="R104" s="8">
        <v>9</v>
      </c>
      <c r="S104" s="7"/>
      <c r="T104" s="7"/>
      <c r="U104" s="8"/>
      <c r="V104" s="7"/>
      <c r="W104" s="7"/>
      <c r="X104" s="8">
        <v>33</v>
      </c>
      <c r="Y104" s="7"/>
    </row>
    <row r="105" spans="1:25" s="2" customFormat="1" x14ac:dyDescent="0.25">
      <c r="A105" s="3" t="s">
        <v>136</v>
      </c>
      <c r="B105" s="3"/>
      <c r="C105" s="3"/>
      <c r="D105" s="3"/>
      <c r="E105" s="4">
        <f>SUM(E106,E108,E112)</f>
        <v>0</v>
      </c>
      <c r="F105" s="5">
        <f>SUM(F106,F108,F112)</f>
        <v>0</v>
      </c>
      <c r="G105" s="4">
        <f>IF(F105=0,"",ROUND(E105/F105,0))</f>
        <v>0</v>
      </c>
      <c r="H105" s="4">
        <f>SUM(H106,H108,H112)</f>
        <v>0</v>
      </c>
      <c r="I105" s="5">
        <f>SUM(I106,I108,I112)</f>
        <v>0</v>
      </c>
      <c r="J105" s="4">
        <f>IF(I105=0,"",ROUND(H105/I105,0))</f>
        <v>0</v>
      </c>
      <c r="K105" s="4">
        <f>SUM(K106,K108,K112)</f>
        <v>0</v>
      </c>
      <c r="L105" s="5">
        <f>SUM(L106,L108,L112)</f>
        <v>0</v>
      </c>
      <c r="M105" s="4">
        <f>IF(L105=0,"",ROUND(K105/L105,0))</f>
        <v>0</v>
      </c>
      <c r="N105" s="4">
        <f>SUM(N106,N108,N112)</f>
        <v>14700</v>
      </c>
      <c r="O105" s="5">
        <f>SUM(O106,O108,O112)</f>
        <v>8</v>
      </c>
      <c r="P105" s="4">
        <f>IF(O105=0,"",ROUND(N105/O105,0))</f>
        <v>1838</v>
      </c>
      <c r="Q105" s="4">
        <f>SUM(Q106,Q108,Q112)</f>
        <v>63506</v>
      </c>
      <c r="R105" s="5">
        <f>SUM(R106,R108,R112)</f>
        <v>12</v>
      </c>
      <c r="S105" s="4">
        <f>IF(R105=0,"",ROUND(Q105/R105,0))</f>
        <v>5292</v>
      </c>
      <c r="T105" s="4">
        <f>SUM(T106,T108,T112)</f>
        <v>18375</v>
      </c>
      <c r="U105" s="5">
        <f>SUM(U106,U108,U112)</f>
        <v>8</v>
      </c>
      <c r="V105" s="4">
        <f>IF(U105=0,"",ROUND(T105/U105,0))</f>
        <v>2297</v>
      </c>
      <c r="W105" s="4">
        <f>SUM(W106,W108,W112)</f>
        <v>96581</v>
      </c>
      <c r="X105" s="5">
        <f>SUM(X106,X108,X112)</f>
        <v>28</v>
      </c>
      <c r="Y105" s="4">
        <f>IF(X105=0,"",ROUND(W105/X105,0))</f>
        <v>3449</v>
      </c>
    </row>
    <row r="106" spans="1:25" x14ac:dyDescent="0.25" outlineLevel="1">
      <c r="A106" s="6" t="s">
        <v>137</v>
      </c>
      <c r="B106" s="6"/>
      <c r="C106" s="6"/>
      <c r="D106" s="6"/>
      <c r="E106" s="7">
        <f>SUM(E107)</f>
        <v>0</v>
      </c>
      <c r="F106" s="8">
        <f>SUM(F107)</f>
        <v>0</v>
      </c>
      <c r="G106" s="7">
        <f>IF(F106=0,"",ROUND(E106/F106,0))</f>
        <v>0</v>
      </c>
      <c r="H106" s="7">
        <f>SUM(H107)</f>
        <v>0</v>
      </c>
      <c r="I106" s="8">
        <f>SUM(I107)</f>
        <v>0</v>
      </c>
      <c r="J106" s="7">
        <f>IF(I106=0,"",ROUND(H106/I106,0))</f>
        <v>0</v>
      </c>
      <c r="K106" s="7">
        <f>SUM(K107)</f>
        <v>0</v>
      </c>
      <c r="L106" s="8">
        <f>SUM(L107)</f>
        <v>0</v>
      </c>
      <c r="M106" s="7">
        <f>IF(L106=0,"",ROUND(K106/L106,0))</f>
        <v>0</v>
      </c>
      <c r="N106" s="7">
        <f>SUM(N107)</f>
        <v>0</v>
      </c>
      <c r="O106" s="8">
        <f>SUM(O107)</f>
        <v>0</v>
      </c>
      <c r="P106" s="7">
        <f>IF(O106=0,"",ROUND(N106/O106,0))</f>
        <v>0</v>
      </c>
      <c r="Q106" s="7">
        <f>SUM(Q107)</f>
        <v>48806</v>
      </c>
      <c r="R106" s="8">
        <f>SUM(R107)</f>
        <v>8</v>
      </c>
      <c r="S106" s="7">
        <f>IF(R106=0,"",ROUND(Q106/R106,0))</f>
        <v>6101</v>
      </c>
      <c r="T106" s="7">
        <f>SUM(T107)</f>
        <v>0</v>
      </c>
      <c r="U106" s="8">
        <f>SUM(U107)</f>
        <v>0</v>
      </c>
      <c r="V106" s="7">
        <f>IF(U106=0,"",ROUND(T106/U106,0))</f>
        <v>0</v>
      </c>
      <c r="W106" s="7">
        <f>SUM(W107)</f>
        <v>48806</v>
      </c>
      <c r="X106" s="8">
        <f>SUM(X107)</f>
        <v>8</v>
      </c>
      <c r="Y106" s="7">
        <f>IF(X106=0,"",ROUND(W106/X106,0))</f>
        <v>6101</v>
      </c>
    </row>
    <row r="107" spans="1:25" x14ac:dyDescent="0.25" outlineLevel="2">
      <c r="A107" s="9" t="s">
        <v>138</v>
      </c>
      <c r="B107" s="9"/>
      <c r="C107" s="9"/>
      <c r="D107" s="9"/>
      <c r="E107" s="7"/>
      <c r="F107" s="8"/>
      <c r="G107" s="7"/>
      <c r="H107" s="7"/>
      <c r="I107" s="8"/>
      <c r="J107" s="7"/>
      <c r="K107" s="7"/>
      <c r="L107" s="8"/>
      <c r="M107" s="7"/>
      <c r="N107" s="7"/>
      <c r="O107" s="8"/>
      <c r="P107" s="7"/>
      <c r="Q107" s="7">
        <v>48806</v>
      </c>
      <c r="R107" s="8">
        <v>8</v>
      </c>
      <c r="S107" s="7">
        <v>6101</v>
      </c>
      <c r="T107" s="7"/>
      <c r="U107" s="8"/>
      <c r="V107" s="7"/>
      <c r="W107" s="7">
        <v>48806</v>
      </c>
      <c r="X107" s="8">
        <v>8</v>
      </c>
      <c r="Y107" s="7">
        <v>6101</v>
      </c>
    </row>
    <row r="108" spans="1:25" x14ac:dyDescent="0.25" outlineLevel="1">
      <c r="A108" s="6" t="s">
        <v>139</v>
      </c>
      <c r="B108" s="6"/>
      <c r="C108" s="6"/>
      <c r="D108" s="6"/>
      <c r="E108" s="7">
        <f>SUM(E109)</f>
        <v>0</v>
      </c>
      <c r="F108" s="8">
        <f>SUM(F109)</f>
        <v>0</v>
      </c>
      <c r="G108" s="7">
        <f>IF(F108=0,"",ROUND(E108/F108,0))</f>
        <v>0</v>
      </c>
      <c r="H108" s="7">
        <f>SUM(H109)</f>
        <v>0</v>
      </c>
      <c r="I108" s="8">
        <f>SUM(I109)</f>
        <v>0</v>
      </c>
      <c r="J108" s="7">
        <f>IF(I108=0,"",ROUND(H108/I108,0))</f>
        <v>0</v>
      </c>
      <c r="K108" s="7">
        <f>SUM(K109)</f>
        <v>0</v>
      </c>
      <c r="L108" s="8">
        <f>SUM(L109)</f>
        <v>0</v>
      </c>
      <c r="M108" s="7">
        <f>IF(L108=0,"",ROUND(K108/L108,0))</f>
        <v>0</v>
      </c>
      <c r="N108" s="7">
        <f>SUM(N109)</f>
        <v>14700</v>
      </c>
      <c r="O108" s="8">
        <f>SUM(O109)</f>
        <v>8</v>
      </c>
      <c r="P108" s="7">
        <f>IF(O108=0,"",ROUND(N108/O108,0))</f>
        <v>1838</v>
      </c>
      <c r="Q108" s="7">
        <f>SUM(Q109)</f>
        <v>0</v>
      </c>
      <c r="R108" s="8">
        <f>SUM(R109)</f>
        <v>0</v>
      </c>
      <c r="S108" s="7">
        <f>IF(R108=0,"",ROUND(Q108/R108,0))</f>
        <v>0</v>
      </c>
      <c r="T108" s="7">
        <f>SUM(T109)</f>
        <v>18375</v>
      </c>
      <c r="U108" s="8">
        <f>SUM(U109)</f>
        <v>8</v>
      </c>
      <c r="V108" s="7">
        <f>IF(U108=0,"",ROUND(T108/U108,0))</f>
        <v>2297</v>
      </c>
      <c r="W108" s="7">
        <f>SUM(W109)</f>
        <v>33075</v>
      </c>
      <c r="X108" s="8">
        <f>SUM(X109)</f>
        <v>16</v>
      </c>
      <c r="Y108" s="7">
        <f>IF(X108=0,"",ROUND(W108/X108,0))</f>
        <v>2067</v>
      </c>
    </row>
    <row r="109" spans="1:25" x14ac:dyDescent="0.25" outlineLevel="2">
      <c r="A109" s="9" t="s">
        <v>140</v>
      </c>
      <c r="B109" s="9"/>
      <c r="C109" s="9"/>
      <c r="D109" s="9"/>
      <c r="E109" s="7">
        <f>SUM(E110,E111)</f>
        <v>0</v>
      </c>
      <c r="F109" s="8">
        <f>SUM(F110,F111)</f>
        <v>0</v>
      </c>
      <c r="G109" s="7">
        <f>IF(F109=0,"",ROUND(E109/F109,0))</f>
        <v>0</v>
      </c>
      <c r="H109" s="7">
        <f>SUM(H110,H111)</f>
        <v>0</v>
      </c>
      <c r="I109" s="8">
        <f>SUM(I110,I111)</f>
        <v>0</v>
      </c>
      <c r="J109" s="7">
        <f>IF(I109=0,"",ROUND(H109/I109,0))</f>
        <v>0</v>
      </c>
      <c r="K109" s="7">
        <f>SUM(K110,K111)</f>
        <v>0</v>
      </c>
      <c r="L109" s="8">
        <f>SUM(L110,L111)</f>
        <v>0</v>
      </c>
      <c r="M109" s="7">
        <f>IF(L109=0,"",ROUND(K109/L109,0))</f>
        <v>0</v>
      </c>
      <c r="N109" s="7">
        <f>SUM(N110,N111)</f>
        <v>14700</v>
      </c>
      <c r="O109" s="8">
        <f>SUM(O110,O111)</f>
        <v>8</v>
      </c>
      <c r="P109" s="7">
        <f>IF(O109=0,"",ROUND(N109/O109,0))</f>
        <v>1838</v>
      </c>
      <c r="Q109" s="7">
        <f>SUM(Q110,Q111)</f>
        <v>0</v>
      </c>
      <c r="R109" s="8">
        <f>SUM(R110,R111)</f>
        <v>0</v>
      </c>
      <c r="S109" s="7">
        <f>IF(R109=0,"",ROUND(Q109/R109,0))</f>
        <v>0</v>
      </c>
      <c r="T109" s="7">
        <f>SUM(T110,T111)</f>
        <v>18375</v>
      </c>
      <c r="U109" s="8">
        <f>SUM(U110,U111)</f>
        <v>8</v>
      </c>
      <c r="V109" s="7">
        <f>IF(U109=0,"",ROUND(T109/U109,0))</f>
        <v>2297</v>
      </c>
      <c r="W109" s="7">
        <f>SUM(W110,W111)</f>
        <v>33075</v>
      </c>
      <c r="X109" s="8">
        <f>SUM(X110,X111)</f>
        <v>16</v>
      </c>
      <c r="Y109" s="7">
        <f>IF(X109=0,"",ROUND(W109/X109,0))</f>
        <v>2067</v>
      </c>
    </row>
    <row r="110" spans="1:25" x14ac:dyDescent="0.25" outlineLevel="3" collapsed="1">
      <c r="A110" s="11" t="s">
        <v>141</v>
      </c>
      <c r="B110" s="11"/>
      <c r="C110" s="11"/>
      <c r="D110" s="11"/>
      <c r="E110" s="7"/>
      <c r="F110" s="8"/>
      <c r="G110" s="7"/>
      <c r="H110" s="7"/>
      <c r="I110" s="8"/>
      <c r="J110" s="7"/>
      <c r="K110" s="7"/>
      <c r="L110" s="8"/>
      <c r="M110" s="7"/>
      <c r="N110" s="7"/>
      <c r="O110" s="8"/>
      <c r="P110" s="7"/>
      <c r="Q110" s="7"/>
      <c r="R110" s="8"/>
      <c r="S110" s="7"/>
      <c r="T110" s="7">
        <v>18375</v>
      </c>
      <c r="U110" s="8">
        <v>8</v>
      </c>
      <c r="V110" s="7">
        <v>2297</v>
      </c>
      <c r="W110" s="7">
        <v>18375</v>
      </c>
      <c r="X110" s="8">
        <v>8</v>
      </c>
      <c r="Y110" s="7">
        <v>2297</v>
      </c>
    </row>
    <row r="111" spans="1:25" x14ac:dyDescent="0.25" outlineLevel="3" collapsed="1">
      <c r="A111" s="11" t="s">
        <v>142</v>
      </c>
      <c r="B111" s="11"/>
      <c r="C111" s="11"/>
      <c r="D111" s="11"/>
      <c r="E111" s="7"/>
      <c r="F111" s="8"/>
      <c r="G111" s="7"/>
      <c r="H111" s="7"/>
      <c r="I111" s="8"/>
      <c r="J111" s="7"/>
      <c r="K111" s="7"/>
      <c r="L111" s="8"/>
      <c r="M111" s="7"/>
      <c r="N111" s="7">
        <v>14700</v>
      </c>
      <c r="O111" s="8">
        <v>8</v>
      </c>
      <c r="P111" s="7">
        <v>1838</v>
      </c>
      <c r="Q111" s="7"/>
      <c r="R111" s="8"/>
      <c r="S111" s="7"/>
      <c r="T111" s="7"/>
      <c r="U111" s="8"/>
      <c r="V111" s="7"/>
      <c r="W111" s="7">
        <v>14700</v>
      </c>
      <c r="X111" s="8">
        <v>8</v>
      </c>
      <c r="Y111" s="7">
        <v>1838</v>
      </c>
    </row>
    <row r="112" spans="1:25" x14ac:dyDescent="0.25" outlineLevel="1">
      <c r="A112" s="6" t="s">
        <v>143</v>
      </c>
      <c r="B112" s="6"/>
      <c r="C112" s="6"/>
      <c r="D112" s="6"/>
      <c r="E112" s="7">
        <f>SUM(E113)</f>
        <v>0</v>
      </c>
      <c r="F112" s="8">
        <f>SUM(F113)</f>
        <v>0</v>
      </c>
      <c r="G112" s="7">
        <f>IF(F112=0,"",ROUND(E112/F112,0))</f>
        <v>0</v>
      </c>
      <c r="H112" s="7">
        <f>SUM(H113)</f>
        <v>0</v>
      </c>
      <c r="I112" s="8">
        <f>SUM(I113)</f>
        <v>0</v>
      </c>
      <c r="J112" s="7">
        <f>IF(I112=0,"",ROUND(H112/I112,0))</f>
        <v>0</v>
      </c>
      <c r="K112" s="7">
        <f>SUM(K113)</f>
        <v>0</v>
      </c>
      <c r="L112" s="8">
        <f>SUM(L113)</f>
        <v>0</v>
      </c>
      <c r="M112" s="7">
        <f>IF(L112=0,"",ROUND(K112/L112,0))</f>
        <v>0</v>
      </c>
      <c r="N112" s="7">
        <f>SUM(N113)</f>
        <v>0</v>
      </c>
      <c r="O112" s="8">
        <f>SUM(O113)</f>
        <v>0</v>
      </c>
      <c r="P112" s="7">
        <f>IF(O112=0,"",ROUND(N112/O112,0))</f>
        <v>0</v>
      </c>
      <c r="Q112" s="7">
        <f>SUM(Q113)</f>
        <v>14700</v>
      </c>
      <c r="R112" s="8">
        <f>SUM(R113)</f>
        <v>4</v>
      </c>
      <c r="S112" s="7">
        <f>IF(R112=0,"",ROUND(Q112/R112,0))</f>
        <v>3675</v>
      </c>
      <c r="T112" s="7">
        <f>SUM(T113)</f>
        <v>0</v>
      </c>
      <c r="U112" s="8">
        <f>SUM(U113)</f>
        <v>0</v>
      </c>
      <c r="V112" s="7">
        <f>IF(U112=0,"",ROUND(T112/U112,0))</f>
        <v>0</v>
      </c>
      <c r="W112" s="7">
        <f>SUM(W113)</f>
        <v>14700</v>
      </c>
      <c r="X112" s="8">
        <f>SUM(X113)</f>
        <v>4</v>
      </c>
      <c r="Y112" s="7">
        <f>IF(X112=0,"",ROUND(W112/X112,0))</f>
        <v>3675</v>
      </c>
    </row>
    <row r="113" spans="1:25" x14ac:dyDescent="0.25" outlineLevel="2">
      <c r="A113" s="9" t="s">
        <v>144</v>
      </c>
      <c r="B113" s="9"/>
      <c r="C113" s="9"/>
      <c r="D113" s="9"/>
      <c r="E113" s="7">
        <f>SUM(E114)</f>
        <v>0</v>
      </c>
      <c r="F113" s="8">
        <f>SUM(F114)</f>
        <v>0</v>
      </c>
      <c r="G113" s="7">
        <f>IF(F113=0,"",ROUND(E113/F113,0))</f>
        <v>0</v>
      </c>
      <c r="H113" s="7">
        <f>SUM(H114)</f>
        <v>0</v>
      </c>
      <c r="I113" s="8">
        <f>SUM(I114)</f>
        <v>0</v>
      </c>
      <c r="J113" s="7">
        <f>IF(I113=0,"",ROUND(H113/I113,0))</f>
        <v>0</v>
      </c>
      <c r="K113" s="7">
        <f>SUM(K114)</f>
        <v>0</v>
      </c>
      <c r="L113" s="8">
        <f>SUM(L114)</f>
        <v>0</v>
      </c>
      <c r="M113" s="7">
        <f>IF(L113=0,"",ROUND(K113/L113,0))</f>
        <v>0</v>
      </c>
      <c r="N113" s="7">
        <f>SUM(N114)</f>
        <v>0</v>
      </c>
      <c r="O113" s="8">
        <f>SUM(O114)</f>
        <v>0</v>
      </c>
      <c r="P113" s="7">
        <f>IF(O113=0,"",ROUND(N113/O113,0))</f>
        <v>0</v>
      </c>
      <c r="Q113" s="7">
        <f>SUM(Q114)</f>
        <v>14700</v>
      </c>
      <c r="R113" s="8">
        <f>SUM(R114)</f>
        <v>4</v>
      </c>
      <c r="S113" s="7">
        <f>IF(R113=0,"",ROUND(Q113/R113,0))</f>
        <v>3675</v>
      </c>
      <c r="T113" s="7">
        <f>SUM(T114)</f>
        <v>0</v>
      </c>
      <c r="U113" s="8">
        <f>SUM(U114)</f>
        <v>0</v>
      </c>
      <c r="V113" s="7">
        <f>IF(U113=0,"",ROUND(T113/U113,0))</f>
        <v>0</v>
      </c>
      <c r="W113" s="7">
        <f>SUM(W114)</f>
        <v>14700</v>
      </c>
      <c r="X113" s="8">
        <f>SUM(X114)</f>
        <v>4</v>
      </c>
      <c r="Y113" s="7">
        <f>IF(X113=0,"",ROUND(W113/X113,0))</f>
        <v>3675</v>
      </c>
    </row>
    <row r="114" spans="1:25" x14ac:dyDescent="0.25" outlineLevel="3" collapsed="1">
      <c r="A114" s="11" t="s">
        <v>145</v>
      </c>
      <c r="B114" s="11"/>
      <c r="C114" s="11"/>
      <c r="D114" s="11"/>
      <c r="E114" s="7"/>
      <c r="F114" s="8"/>
      <c r="G114" s="7"/>
      <c r="H114" s="7"/>
      <c r="I114" s="8"/>
      <c r="J114" s="7"/>
      <c r="K114" s="7"/>
      <c r="L114" s="8"/>
      <c r="M114" s="7"/>
      <c r="N114" s="7"/>
      <c r="O114" s="8"/>
      <c r="P114" s="7"/>
      <c r="Q114" s="7">
        <v>14700</v>
      </c>
      <c r="R114" s="8">
        <v>4</v>
      </c>
      <c r="S114" s="7">
        <v>3675</v>
      </c>
      <c r="T114" s="7"/>
      <c r="U114" s="8"/>
      <c r="V114" s="7"/>
      <c r="W114" s="7">
        <v>14700</v>
      </c>
      <c r="X114" s="8">
        <v>4</v>
      </c>
      <c r="Y114" s="7">
        <v>3675</v>
      </c>
    </row>
    <row r="115" spans="1:25" s="2" customFormat="1" x14ac:dyDescent="0.25">
      <c r="A115" s="3" t="s">
        <v>146</v>
      </c>
      <c r="B115" s="3"/>
      <c r="C115" s="3"/>
      <c r="D115" s="3"/>
      <c r="E115" s="4">
        <f>SUM(E116)</f>
        <v>13000</v>
      </c>
      <c r="F115" s="5">
        <f>SUM(F116)</f>
        <v>8</v>
      </c>
      <c r="G115" s="4">
        <f>IF(F115=0,"",ROUND(E115/F115,0))</f>
        <v>1625</v>
      </c>
      <c r="H115" s="4">
        <f>SUM(H116)</f>
        <v>13000</v>
      </c>
      <c r="I115" s="5">
        <f>SUM(I116)</f>
        <v>8</v>
      </c>
      <c r="J115" s="4">
        <f>IF(I115=0,"",ROUND(H115/I115,0))</f>
        <v>1625</v>
      </c>
      <c r="K115" s="4">
        <f>SUM(K116)</f>
        <v>13000</v>
      </c>
      <c r="L115" s="5">
        <f>SUM(L116)</f>
        <v>8</v>
      </c>
      <c r="M115" s="4">
        <f>IF(L115=0,"",ROUND(K115/L115,0))</f>
        <v>1625</v>
      </c>
      <c r="N115" s="4">
        <f>SUM(N116)</f>
        <v>13000</v>
      </c>
      <c r="O115" s="5">
        <f>SUM(O116)</f>
        <v>8</v>
      </c>
      <c r="P115" s="4">
        <f>IF(O115=0,"",ROUND(N115/O115,0))</f>
        <v>1625</v>
      </c>
      <c r="Q115" s="4">
        <f>SUM(Q116)</f>
        <v>13000</v>
      </c>
      <c r="R115" s="5">
        <f>SUM(R116)</f>
        <v>8</v>
      </c>
      <c r="S115" s="4">
        <f>IF(R115=0,"",ROUND(Q115/R115,0))</f>
        <v>1625</v>
      </c>
      <c r="T115" s="4">
        <f>SUM(T116)</f>
        <v>0</v>
      </c>
      <c r="U115" s="5">
        <f>SUM(U116)</f>
        <v>0</v>
      </c>
      <c r="V115" s="4">
        <f>IF(U115=0,"",ROUND(T115/U115,0))</f>
        <v>0</v>
      </c>
      <c r="W115" s="4">
        <f>SUM(W116)</f>
        <v>65000</v>
      </c>
      <c r="X115" s="5">
        <f>SUM(X116)</f>
        <v>40</v>
      </c>
      <c r="Y115" s="4">
        <f>IF(X115=0,"",ROUND(W115/X115,0))</f>
        <v>1625</v>
      </c>
    </row>
    <row r="116" spans="1:25" x14ac:dyDescent="0.25" outlineLevel="1">
      <c r="A116" s="6" t="s">
        <v>147</v>
      </c>
      <c r="B116" s="6"/>
      <c r="C116" s="6"/>
      <c r="D116" s="6"/>
      <c r="E116" s="7">
        <f>SUM(E117)</f>
        <v>13000</v>
      </c>
      <c r="F116" s="8">
        <f>SUM(F117)</f>
        <v>8</v>
      </c>
      <c r="G116" s="7">
        <f>IF(F116=0,"",ROUND(E116/F116,0))</f>
        <v>1625</v>
      </c>
      <c r="H116" s="7">
        <f>SUM(H117)</f>
        <v>13000</v>
      </c>
      <c r="I116" s="8">
        <f>SUM(I117)</f>
        <v>8</v>
      </c>
      <c r="J116" s="7">
        <f>IF(I116=0,"",ROUND(H116/I116,0))</f>
        <v>1625</v>
      </c>
      <c r="K116" s="7">
        <f>SUM(K117)</f>
        <v>13000</v>
      </c>
      <c r="L116" s="8">
        <f>SUM(L117)</f>
        <v>8</v>
      </c>
      <c r="M116" s="7">
        <f>IF(L116=0,"",ROUND(K116/L116,0))</f>
        <v>1625</v>
      </c>
      <c r="N116" s="7">
        <f>SUM(N117)</f>
        <v>13000</v>
      </c>
      <c r="O116" s="8">
        <f>SUM(O117)</f>
        <v>8</v>
      </c>
      <c r="P116" s="7">
        <f>IF(O116=0,"",ROUND(N116/O116,0))</f>
        <v>1625</v>
      </c>
      <c r="Q116" s="7">
        <f>SUM(Q117)</f>
        <v>13000</v>
      </c>
      <c r="R116" s="8">
        <f>SUM(R117)</f>
        <v>8</v>
      </c>
      <c r="S116" s="7">
        <f>IF(R116=0,"",ROUND(Q116/R116,0))</f>
        <v>1625</v>
      </c>
      <c r="T116" s="7">
        <f>SUM(T117)</f>
        <v>0</v>
      </c>
      <c r="U116" s="8">
        <f>SUM(U117)</f>
        <v>0</v>
      </c>
      <c r="V116" s="7">
        <f>IF(U116=0,"",ROUND(T116/U116,0))</f>
        <v>0</v>
      </c>
      <c r="W116" s="7">
        <f>SUM(W117)</f>
        <v>65000</v>
      </c>
      <c r="X116" s="8">
        <f>SUM(X117)</f>
        <v>40</v>
      </c>
      <c r="Y116" s="7">
        <f>IF(X116=0,"",ROUND(W116/X116,0))</f>
        <v>1625</v>
      </c>
    </row>
    <row r="117" spans="1:25" x14ac:dyDescent="0.25" outlineLevel="2">
      <c r="A117" s="9" t="s">
        <v>148</v>
      </c>
      <c r="B117" s="9"/>
      <c r="C117" s="9"/>
      <c r="D117" s="9"/>
      <c r="E117" s="7">
        <f>SUM(E118)</f>
        <v>13000</v>
      </c>
      <c r="F117" s="8">
        <f>SUM(F118)</f>
        <v>8</v>
      </c>
      <c r="G117" s="7">
        <f>IF(F117=0,"",ROUND(E117/F117,0))</f>
        <v>1625</v>
      </c>
      <c r="H117" s="7">
        <f>SUM(H118)</f>
        <v>13000</v>
      </c>
      <c r="I117" s="8">
        <f>SUM(I118)</f>
        <v>8</v>
      </c>
      <c r="J117" s="7">
        <f>IF(I117=0,"",ROUND(H117/I117,0))</f>
        <v>1625</v>
      </c>
      <c r="K117" s="7">
        <f>SUM(K118)</f>
        <v>13000</v>
      </c>
      <c r="L117" s="8">
        <f>SUM(L118)</f>
        <v>8</v>
      </c>
      <c r="M117" s="7">
        <f>IF(L117=0,"",ROUND(K117/L117,0))</f>
        <v>1625</v>
      </c>
      <c r="N117" s="7">
        <f>SUM(N118)</f>
        <v>13000</v>
      </c>
      <c r="O117" s="8">
        <f>SUM(O118)</f>
        <v>8</v>
      </c>
      <c r="P117" s="7">
        <f>IF(O117=0,"",ROUND(N117/O117,0))</f>
        <v>1625</v>
      </c>
      <c r="Q117" s="7">
        <f>SUM(Q118)</f>
        <v>13000</v>
      </c>
      <c r="R117" s="8">
        <f>SUM(R118)</f>
        <v>8</v>
      </c>
      <c r="S117" s="7">
        <f>IF(R117=0,"",ROUND(Q117/R117,0))</f>
        <v>1625</v>
      </c>
      <c r="T117" s="7">
        <f>SUM(T118)</f>
        <v>0</v>
      </c>
      <c r="U117" s="8">
        <f>SUM(U118)</f>
        <v>0</v>
      </c>
      <c r="V117" s="7">
        <f>IF(U117=0,"",ROUND(T117/U117,0))</f>
        <v>0</v>
      </c>
      <c r="W117" s="7">
        <f>SUM(W118)</f>
        <v>65000</v>
      </c>
      <c r="X117" s="8">
        <f>SUM(X118)</f>
        <v>40</v>
      </c>
      <c r="Y117" s="7">
        <f>IF(X117=0,"",ROUND(W117/X117,0))</f>
        <v>1625</v>
      </c>
    </row>
    <row r="118" spans="1:25" x14ac:dyDescent="0.25" outlineLevel="3" collapsed="1">
      <c r="A118" s="11" t="s">
        <v>149</v>
      </c>
      <c r="B118" s="11"/>
      <c r="C118" s="11"/>
      <c r="D118" s="11"/>
      <c r="E118" s="7">
        <v>13000</v>
      </c>
      <c r="F118" s="8">
        <v>8</v>
      </c>
      <c r="G118" s="7">
        <v>1625</v>
      </c>
      <c r="H118" s="7">
        <v>13000</v>
      </c>
      <c r="I118" s="8">
        <v>8</v>
      </c>
      <c r="J118" s="7">
        <v>1625</v>
      </c>
      <c r="K118" s="7">
        <v>13000</v>
      </c>
      <c r="L118" s="8">
        <v>8</v>
      </c>
      <c r="M118" s="7">
        <v>1625</v>
      </c>
      <c r="N118" s="7">
        <v>13000</v>
      </c>
      <c r="O118" s="8">
        <v>8</v>
      </c>
      <c r="P118" s="7">
        <v>1625</v>
      </c>
      <c r="Q118" s="7">
        <v>13000</v>
      </c>
      <c r="R118" s="8">
        <v>8</v>
      </c>
      <c r="S118" s="7">
        <v>1625</v>
      </c>
      <c r="T118" s="7"/>
      <c r="U118" s="8"/>
      <c r="V118" s="7"/>
      <c r="W118" s="7">
        <v>65000</v>
      </c>
      <c r="X118" s="8">
        <v>40</v>
      </c>
      <c r="Y118" s="7">
        <v>1625</v>
      </c>
    </row>
    <row r="119" spans="1:25" s="2" customFormat="1" x14ac:dyDescent="0.25">
      <c r="A119" s="3" t="s">
        <v>7</v>
      </c>
      <c r="B119" s="3"/>
      <c r="C119" s="3"/>
      <c r="D119" s="3"/>
      <c r="E119" s="4">
        <v>298410</v>
      </c>
      <c r="F119" s="5">
        <v>64.83</v>
      </c>
      <c r="G119" s="4">
        <v>4603</v>
      </c>
      <c r="H119" s="4">
        <v>239235</v>
      </c>
      <c r="I119" s="5">
        <v>62</v>
      </c>
      <c r="J119" s="4">
        <v>3859</v>
      </c>
      <c r="K119" s="4">
        <v>243664</v>
      </c>
      <c r="L119" s="5">
        <v>64.75</v>
      </c>
      <c r="M119" s="4">
        <v>3763</v>
      </c>
      <c r="N119" s="4">
        <v>292538</v>
      </c>
      <c r="O119" s="5">
        <v>76.83</v>
      </c>
      <c r="P119" s="4">
        <v>3807</v>
      </c>
      <c r="Q119" s="4">
        <v>387810</v>
      </c>
      <c r="R119" s="5">
        <v>76.67</v>
      </c>
      <c r="S119" s="4">
        <v>5058</v>
      </c>
      <c r="T119" s="4">
        <v>62475</v>
      </c>
      <c r="U119" s="5">
        <v>16.33</v>
      </c>
      <c r="V119" s="4">
        <v>3825</v>
      </c>
      <c r="W119" s="4">
        <f>SUM(W3,W105,W115)</f>
        <v>1524132</v>
      </c>
      <c r="X119" s="5">
        <f>SUM(X3,X105,X115)</f>
        <v>361.42</v>
      </c>
      <c r="Y119" s="4">
        <f>IF(X119=0,"",ROUND(W119/X119,0))</f>
        <v>4217</v>
      </c>
    </row>
  </sheetData>
  <mergeCells count="168">
    <mergeCell ref="A1:D2"/>
    <mergeCell ref="E1:G1"/>
    <mergeCell ref="H1:J1"/>
    <mergeCell ref="K1:M1"/>
    <mergeCell ref="N1:P1"/>
    <mergeCell ref="Q1:S1"/>
    <mergeCell ref="T1:V1"/>
    <mergeCell ref="W1:Y1"/>
    <mergeCell ref="A3:D3"/>
    <mergeCell ref="A4:D4"/>
    <mergeCell ref="A5:D5"/>
    <mergeCell ref="A6:D6"/>
    <mergeCell ref="E6:G6"/>
    <mergeCell ref="H6:J6"/>
    <mergeCell ref="K6:M6"/>
    <mergeCell ref="N6:P6"/>
    <mergeCell ref="Q6:S6"/>
    <mergeCell ref="W6:Y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E16:G16"/>
    <mergeCell ref="H16:J16"/>
    <mergeCell ref="K16:M16"/>
    <mergeCell ref="N16:P16"/>
    <mergeCell ref="Q16:S16"/>
    <mergeCell ref="T16:V16"/>
    <mergeCell ref="W16:Y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E33:G33"/>
    <mergeCell ref="H33:J33"/>
    <mergeCell ref="K33:M33"/>
    <mergeCell ref="N33:P33"/>
    <mergeCell ref="Q33:S33"/>
    <mergeCell ref="W33:Y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E53:G53"/>
    <mergeCell ref="H53:J53"/>
    <mergeCell ref="K53:M53"/>
    <mergeCell ref="N53:P53"/>
    <mergeCell ref="Q53:S53"/>
    <mergeCell ref="W53:Y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E65:G65"/>
    <mergeCell ref="H65:J65"/>
    <mergeCell ref="K65:M65"/>
    <mergeCell ref="N65:P65"/>
    <mergeCell ref="Q65:S65"/>
    <mergeCell ref="W65:Y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E87:G87"/>
    <mergeCell ref="H87:J87"/>
    <mergeCell ref="K87:M87"/>
    <mergeCell ref="N87:P87"/>
    <mergeCell ref="Q87:S87"/>
    <mergeCell ref="W87:Y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E102:G102"/>
    <mergeCell ref="H102:J102"/>
    <mergeCell ref="K102:M102"/>
    <mergeCell ref="N102:P102"/>
    <mergeCell ref="Q102:S102"/>
    <mergeCell ref="W102:Y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8" customWidth="1"/>
    <col min="4" max="4" width="18" customWidth="1"/>
    <col min="5" max="5" width="20" customWidth="1"/>
    <col min="6" max="6" width="44" customWidth="1"/>
    <col min="7" max="7" width="18" customWidth="1"/>
    <col min="8" max="9" width="10" customWidth="1"/>
    <col min="10" max="10" width="18" customWidth="1"/>
    <col min="11" max="11" width="16" customWidth="1"/>
    <col min="12" max="13" width="18" customWidth="1"/>
  </cols>
  <sheetData>
    <row r="1" spans="1:13" s="2" customFormat="1" x14ac:dyDescent="0.25">
      <c r="A1" s="2" t="s">
        <v>150</v>
      </c>
      <c r="B1" s="2" t="s">
        <v>151</v>
      </c>
      <c r="C1" s="2" t="s">
        <v>152</v>
      </c>
      <c r="D1" s="2" t="s">
        <v>153</v>
      </c>
      <c r="E1" s="2" t="s">
        <v>154</v>
      </c>
      <c r="F1" s="2" t="s">
        <v>155</v>
      </c>
      <c r="G1" s="2" t="s">
        <v>156</v>
      </c>
      <c r="H1" s="2" t="s">
        <v>157</v>
      </c>
      <c r="I1" s="2" t="s">
        <v>158</v>
      </c>
      <c r="J1" s="2" t="s">
        <v>8</v>
      </c>
      <c r="K1" s="2" t="s">
        <v>10</v>
      </c>
      <c r="L1" s="2" t="s">
        <v>159</v>
      </c>
      <c r="M1" s="2" t="s">
        <v>160</v>
      </c>
    </row>
    <row r="2" spans="1:13" x14ac:dyDescent="0.25">
      <c r="A2" t="s">
        <v>161</v>
      </c>
      <c r="B2" t="s">
        <v>1</v>
      </c>
      <c r="C2" t="s">
        <v>11</v>
      </c>
      <c r="D2" t="s">
        <v>12</v>
      </c>
      <c r="E2" t="s">
        <v>13</v>
      </c>
      <c r="F2" t="s">
        <v>21</v>
      </c>
      <c r="G2" t="s">
        <v>14</v>
      </c>
      <c r="H2">
        <v>395</v>
      </c>
      <c r="I2">
        <v>6.58</v>
      </c>
      <c r="J2">
        <v>44847</v>
      </c>
      <c r="K2">
        <v>6812</v>
      </c>
      <c r="L2" t="s">
        <v>162</v>
      </c>
      <c r="M2" t="s">
        <v>163</v>
      </c>
    </row>
    <row r="3" spans="1:13" x14ac:dyDescent="0.25">
      <c r="A3" t="s">
        <v>164</v>
      </c>
      <c r="B3" t="s">
        <v>3</v>
      </c>
      <c r="C3" t="s">
        <v>11</v>
      </c>
      <c r="D3" t="s">
        <v>12</v>
      </c>
      <c r="E3" t="s">
        <v>13</v>
      </c>
      <c r="F3" t="s">
        <v>22</v>
      </c>
      <c r="G3" t="s">
        <v>14</v>
      </c>
      <c r="H3">
        <v>385</v>
      </c>
      <c r="I3">
        <v>6.42</v>
      </c>
      <c r="J3">
        <v>39835</v>
      </c>
      <c r="K3">
        <v>6208</v>
      </c>
      <c r="L3" t="s">
        <v>162</v>
      </c>
      <c r="M3" t="s">
        <v>163</v>
      </c>
    </row>
    <row r="4" spans="1:13" x14ac:dyDescent="0.25">
      <c r="A4" t="s">
        <v>165</v>
      </c>
      <c r="B4" t="s">
        <v>5</v>
      </c>
      <c r="C4" t="s">
        <v>11</v>
      </c>
      <c r="D4" t="s">
        <v>12</v>
      </c>
      <c r="E4" t="s">
        <v>13</v>
      </c>
      <c r="F4" t="s">
        <v>23</v>
      </c>
      <c r="G4" t="s">
        <v>14</v>
      </c>
      <c r="H4">
        <v>20</v>
      </c>
      <c r="I4">
        <v>0.33</v>
      </c>
      <c r="J4">
        <v>42095</v>
      </c>
      <c r="K4">
        <v>126285</v>
      </c>
      <c r="L4" t="s">
        <v>162</v>
      </c>
      <c r="M4" t="s">
        <v>163</v>
      </c>
    </row>
    <row r="5" spans="1:13" x14ac:dyDescent="0.25">
      <c r="A5" t="s">
        <v>166</v>
      </c>
      <c r="B5" t="s">
        <v>4</v>
      </c>
      <c r="C5" t="s">
        <v>11</v>
      </c>
      <c r="D5" t="s">
        <v>12</v>
      </c>
      <c r="E5" t="s">
        <v>13</v>
      </c>
      <c r="F5" t="s">
        <v>24</v>
      </c>
      <c r="G5" t="s">
        <v>14</v>
      </c>
      <c r="H5">
        <v>390</v>
      </c>
      <c r="I5">
        <v>6.5</v>
      </c>
      <c r="J5">
        <v>61322</v>
      </c>
      <c r="K5">
        <v>9434</v>
      </c>
      <c r="L5" t="s">
        <v>162</v>
      </c>
      <c r="M5" t="s">
        <v>163</v>
      </c>
    </row>
    <row r="6" spans="1:13" x14ac:dyDescent="0.25">
      <c r="A6" t="s">
        <v>167</v>
      </c>
      <c r="B6" t="s">
        <v>5</v>
      </c>
      <c r="C6" t="s">
        <v>11</v>
      </c>
      <c r="D6" t="s">
        <v>12</v>
      </c>
      <c r="E6" t="s">
        <v>13</v>
      </c>
      <c r="F6" t="s">
        <v>25</v>
      </c>
      <c r="G6" t="s">
        <v>14</v>
      </c>
      <c r="H6">
        <v>290</v>
      </c>
      <c r="I6">
        <v>4.83</v>
      </c>
      <c r="J6">
        <v>45758</v>
      </c>
      <c r="K6">
        <v>9467</v>
      </c>
      <c r="L6" t="s">
        <v>162</v>
      </c>
      <c r="M6" t="s">
        <v>163</v>
      </c>
    </row>
    <row r="7" spans="1:13" x14ac:dyDescent="0.25">
      <c r="A7" t="s">
        <v>168</v>
      </c>
      <c r="B7" t="s">
        <v>2</v>
      </c>
      <c r="C7" t="s">
        <v>11</v>
      </c>
      <c r="D7" t="s">
        <v>12</v>
      </c>
      <c r="E7" t="s">
        <v>13</v>
      </c>
      <c r="F7" t="s">
        <v>26</v>
      </c>
      <c r="G7" t="s">
        <v>169</v>
      </c>
      <c r="H7">
        <v>225</v>
      </c>
      <c r="I7">
        <v>3.75</v>
      </c>
      <c r="J7">
        <v>14700</v>
      </c>
      <c r="K7">
        <v>3920</v>
      </c>
      <c r="L7" t="s">
        <v>162</v>
      </c>
      <c r="M7" t="s">
        <v>163</v>
      </c>
    </row>
    <row r="8" spans="1:13" x14ac:dyDescent="0.25">
      <c r="A8" t="s">
        <v>170</v>
      </c>
      <c r="B8" t="s">
        <v>2</v>
      </c>
      <c r="C8" t="s">
        <v>11</v>
      </c>
      <c r="D8" t="s">
        <v>12</v>
      </c>
      <c r="E8" t="s">
        <v>13</v>
      </c>
      <c r="F8" t="s">
        <v>27</v>
      </c>
      <c r="G8" t="s">
        <v>169</v>
      </c>
      <c r="H8">
        <v>155</v>
      </c>
      <c r="I8">
        <v>2.58</v>
      </c>
      <c r="J8">
        <v>14700</v>
      </c>
      <c r="K8">
        <v>5690</v>
      </c>
      <c r="L8" t="s">
        <v>162</v>
      </c>
      <c r="M8" t="s">
        <v>163</v>
      </c>
    </row>
    <row r="9" spans="1:13" x14ac:dyDescent="0.25">
      <c r="A9" t="s">
        <v>171</v>
      </c>
      <c r="B9" t="s">
        <v>6</v>
      </c>
      <c r="C9" t="s">
        <v>11</v>
      </c>
      <c r="D9" t="s">
        <v>28</v>
      </c>
      <c r="E9" t="s">
        <v>29</v>
      </c>
      <c r="F9" t="s">
        <v>41</v>
      </c>
      <c r="G9" t="s">
        <v>169</v>
      </c>
      <c r="H9">
        <v>110</v>
      </c>
      <c r="I9">
        <v>1.83</v>
      </c>
      <c r="J9">
        <v>14700</v>
      </c>
      <c r="K9">
        <v>8018</v>
      </c>
      <c r="L9" t="s">
        <v>162</v>
      </c>
      <c r="M9" t="s">
        <v>163</v>
      </c>
    </row>
    <row r="10" spans="1:13" x14ac:dyDescent="0.25">
      <c r="A10" t="s">
        <v>172</v>
      </c>
      <c r="B10" t="s">
        <v>6</v>
      </c>
      <c r="C10" t="s">
        <v>11</v>
      </c>
      <c r="D10" t="s">
        <v>28</v>
      </c>
      <c r="E10" t="s">
        <v>29</v>
      </c>
      <c r="F10" t="s">
        <v>42</v>
      </c>
      <c r="G10" t="s">
        <v>169</v>
      </c>
      <c r="H10">
        <v>200</v>
      </c>
      <c r="I10">
        <v>3.33</v>
      </c>
      <c r="J10">
        <v>14700</v>
      </c>
      <c r="K10">
        <v>4410</v>
      </c>
      <c r="L10" t="s">
        <v>162</v>
      </c>
      <c r="M10" t="s">
        <v>163</v>
      </c>
    </row>
    <row r="11" spans="1:13" x14ac:dyDescent="0.25">
      <c r="A11" t="s">
        <v>173</v>
      </c>
      <c r="B11" t="s">
        <v>3</v>
      </c>
      <c r="C11" t="s">
        <v>11</v>
      </c>
      <c r="D11" t="s">
        <v>28</v>
      </c>
      <c r="E11" t="s">
        <v>29</v>
      </c>
      <c r="F11" t="s">
        <v>37</v>
      </c>
      <c r="G11" t="s">
        <v>14</v>
      </c>
      <c r="H11">
        <v>420</v>
      </c>
      <c r="I11">
        <v>7</v>
      </c>
      <c r="J11">
        <v>55904</v>
      </c>
      <c r="K11">
        <v>7986</v>
      </c>
      <c r="L11" t="s">
        <v>162</v>
      </c>
      <c r="M11" t="s">
        <v>163</v>
      </c>
    </row>
    <row r="12" spans="1:13" x14ac:dyDescent="0.25">
      <c r="A12" t="s">
        <v>174</v>
      </c>
      <c r="B12" t="s">
        <v>3</v>
      </c>
      <c r="C12" t="s">
        <v>11</v>
      </c>
      <c r="D12" t="s">
        <v>28</v>
      </c>
      <c r="E12" t="s">
        <v>29</v>
      </c>
      <c r="F12" t="s">
        <v>38</v>
      </c>
      <c r="G12" t="s">
        <v>175</v>
      </c>
      <c r="H12">
        <v>30</v>
      </c>
      <c r="I12">
        <v>0.5</v>
      </c>
      <c r="J12" t="s">
        <v>14</v>
      </c>
      <c r="K12" t="s">
        <v>14</v>
      </c>
      <c r="L12" t="s">
        <v>162</v>
      </c>
      <c r="M12" t="s">
        <v>163</v>
      </c>
    </row>
    <row r="13" spans="1:13" x14ac:dyDescent="0.25">
      <c r="A13" t="s">
        <v>176</v>
      </c>
      <c r="B13" t="s">
        <v>4</v>
      </c>
      <c r="C13" t="s">
        <v>11</v>
      </c>
      <c r="D13" t="s">
        <v>28</v>
      </c>
      <c r="E13" t="s">
        <v>29</v>
      </c>
      <c r="F13" t="s">
        <v>39</v>
      </c>
      <c r="G13" t="s">
        <v>14</v>
      </c>
      <c r="H13">
        <v>470</v>
      </c>
      <c r="I13">
        <v>7.83</v>
      </c>
      <c r="J13">
        <v>67541</v>
      </c>
      <c r="K13">
        <v>8622</v>
      </c>
      <c r="L13" t="s">
        <v>162</v>
      </c>
      <c r="M13" t="s">
        <v>163</v>
      </c>
    </row>
    <row r="14" spans="1:13" x14ac:dyDescent="0.25">
      <c r="A14" t="s">
        <v>177</v>
      </c>
      <c r="B14" t="s">
        <v>6</v>
      </c>
      <c r="C14" t="s">
        <v>11</v>
      </c>
      <c r="D14" t="s">
        <v>28</v>
      </c>
      <c r="E14" t="s">
        <v>29</v>
      </c>
      <c r="F14" t="s">
        <v>40</v>
      </c>
      <c r="G14" t="s">
        <v>169</v>
      </c>
      <c r="H14">
        <v>190</v>
      </c>
      <c r="I14">
        <v>3.17</v>
      </c>
      <c r="J14">
        <v>14700</v>
      </c>
      <c r="K14">
        <v>4642</v>
      </c>
      <c r="L14" t="s">
        <v>162</v>
      </c>
      <c r="M14" t="s">
        <v>163</v>
      </c>
    </row>
    <row r="15" spans="1:13" x14ac:dyDescent="0.25">
      <c r="A15" t="s">
        <v>178</v>
      </c>
      <c r="B15" t="s">
        <v>1</v>
      </c>
      <c r="C15" t="s">
        <v>11</v>
      </c>
      <c r="D15" t="s">
        <v>28</v>
      </c>
      <c r="E15" t="s">
        <v>29</v>
      </c>
      <c r="F15" t="s">
        <v>43</v>
      </c>
      <c r="G15" t="s">
        <v>14</v>
      </c>
      <c r="H15">
        <v>260</v>
      </c>
      <c r="I15">
        <v>4.33</v>
      </c>
      <c r="J15">
        <v>45712</v>
      </c>
      <c r="K15">
        <v>10549</v>
      </c>
      <c r="L15" t="s">
        <v>162</v>
      </c>
      <c r="M15" t="s">
        <v>163</v>
      </c>
    </row>
    <row r="16" spans="1:13" x14ac:dyDescent="0.25">
      <c r="A16" t="s">
        <v>179</v>
      </c>
      <c r="B16" t="s">
        <v>1</v>
      </c>
      <c r="C16" t="s">
        <v>11</v>
      </c>
      <c r="D16" t="s">
        <v>28</v>
      </c>
      <c r="E16" t="s">
        <v>29</v>
      </c>
      <c r="F16" t="s">
        <v>44</v>
      </c>
      <c r="G16" t="s">
        <v>175</v>
      </c>
      <c r="H16">
        <v>30</v>
      </c>
      <c r="I16">
        <v>0.5</v>
      </c>
      <c r="J16">
        <v>7480</v>
      </c>
      <c r="K16">
        <v>14960</v>
      </c>
      <c r="L16" t="s">
        <v>162</v>
      </c>
      <c r="M16" t="s">
        <v>163</v>
      </c>
    </row>
    <row r="17" spans="1:13" x14ac:dyDescent="0.25">
      <c r="A17" t="s">
        <v>180</v>
      </c>
      <c r="B17" t="s">
        <v>5</v>
      </c>
      <c r="C17" t="s">
        <v>11</v>
      </c>
      <c r="D17" t="s">
        <v>28</v>
      </c>
      <c r="E17" t="s">
        <v>29</v>
      </c>
      <c r="F17" t="s">
        <v>45</v>
      </c>
      <c r="G17" t="s">
        <v>169</v>
      </c>
      <c r="H17">
        <v>205</v>
      </c>
      <c r="I17">
        <v>3.42</v>
      </c>
      <c r="J17">
        <v>14700</v>
      </c>
      <c r="K17">
        <v>4302</v>
      </c>
      <c r="L17" t="s">
        <v>162</v>
      </c>
      <c r="M17" t="s">
        <v>163</v>
      </c>
    </row>
    <row r="18" spans="1:13" x14ac:dyDescent="0.25">
      <c r="A18" t="s">
        <v>181</v>
      </c>
      <c r="B18" t="s">
        <v>5</v>
      </c>
      <c r="C18" t="s">
        <v>11</v>
      </c>
      <c r="D18" t="s">
        <v>28</v>
      </c>
      <c r="E18" t="s">
        <v>29</v>
      </c>
      <c r="F18" t="s">
        <v>46</v>
      </c>
      <c r="G18" t="s">
        <v>169</v>
      </c>
      <c r="H18">
        <v>80</v>
      </c>
      <c r="I18">
        <v>1.33</v>
      </c>
      <c r="J18">
        <v>14700</v>
      </c>
      <c r="K18">
        <v>11025</v>
      </c>
      <c r="L18" t="s">
        <v>162</v>
      </c>
      <c r="M18" t="s">
        <v>163</v>
      </c>
    </row>
    <row r="19" spans="1:13" x14ac:dyDescent="0.25">
      <c r="A19" t="s">
        <v>182</v>
      </c>
      <c r="B19" t="s">
        <v>5</v>
      </c>
      <c r="C19" t="s">
        <v>11</v>
      </c>
      <c r="D19" t="s">
        <v>28</v>
      </c>
      <c r="E19" t="s">
        <v>29</v>
      </c>
      <c r="F19" t="s">
        <v>47</v>
      </c>
      <c r="G19" t="s">
        <v>169</v>
      </c>
      <c r="H19">
        <v>160</v>
      </c>
      <c r="I19">
        <v>2.67</v>
      </c>
      <c r="J19">
        <v>14700</v>
      </c>
      <c r="K19">
        <v>5513</v>
      </c>
      <c r="L19" t="s">
        <v>162</v>
      </c>
      <c r="M19" t="s">
        <v>163</v>
      </c>
    </row>
    <row r="20" spans="1:13" x14ac:dyDescent="0.25">
      <c r="A20" t="s">
        <v>183</v>
      </c>
      <c r="B20" t="s">
        <v>2</v>
      </c>
      <c r="C20" t="s">
        <v>11</v>
      </c>
      <c r="D20" t="s">
        <v>28</v>
      </c>
      <c r="E20" t="s">
        <v>29</v>
      </c>
      <c r="F20" t="s">
        <v>48</v>
      </c>
      <c r="G20" t="s">
        <v>169</v>
      </c>
      <c r="H20">
        <v>130</v>
      </c>
      <c r="I20">
        <v>2.17</v>
      </c>
      <c r="J20">
        <v>14700</v>
      </c>
      <c r="K20">
        <v>6785</v>
      </c>
      <c r="L20" t="s">
        <v>162</v>
      </c>
      <c r="M20" t="s">
        <v>163</v>
      </c>
    </row>
    <row r="21" spans="1:13" x14ac:dyDescent="0.25">
      <c r="A21" t="s">
        <v>184</v>
      </c>
      <c r="B21" t="s">
        <v>2</v>
      </c>
      <c r="C21" t="s">
        <v>11</v>
      </c>
      <c r="D21" t="s">
        <v>28</v>
      </c>
      <c r="E21" t="s">
        <v>29</v>
      </c>
      <c r="F21" t="s">
        <v>49</v>
      </c>
      <c r="G21" t="s">
        <v>169</v>
      </c>
      <c r="H21">
        <v>170</v>
      </c>
      <c r="I21">
        <v>2.83</v>
      </c>
      <c r="J21">
        <v>14700</v>
      </c>
      <c r="K21">
        <v>5188</v>
      </c>
      <c r="L21" t="s">
        <v>162</v>
      </c>
      <c r="M21" t="s">
        <v>163</v>
      </c>
    </row>
    <row r="22" spans="1:13" x14ac:dyDescent="0.25">
      <c r="A22" t="s">
        <v>185</v>
      </c>
      <c r="B22" t="s">
        <v>2</v>
      </c>
      <c r="C22" t="s">
        <v>11</v>
      </c>
      <c r="D22" t="s">
        <v>28</v>
      </c>
      <c r="E22" t="s">
        <v>29</v>
      </c>
      <c r="F22" t="s">
        <v>50</v>
      </c>
      <c r="G22" t="s">
        <v>169</v>
      </c>
      <c r="H22">
        <v>80</v>
      </c>
      <c r="I22">
        <v>1.33</v>
      </c>
      <c r="J22">
        <v>14700</v>
      </c>
      <c r="K22">
        <v>11025</v>
      </c>
      <c r="L22" t="s">
        <v>162</v>
      </c>
      <c r="M22" t="s">
        <v>163</v>
      </c>
    </row>
    <row r="23" spans="1:13" x14ac:dyDescent="0.25">
      <c r="A23" t="s">
        <v>186</v>
      </c>
      <c r="B23" t="s">
        <v>1</v>
      </c>
      <c r="C23" t="s">
        <v>11</v>
      </c>
      <c r="D23" t="s">
        <v>51</v>
      </c>
      <c r="E23" t="s">
        <v>52</v>
      </c>
      <c r="F23" t="s">
        <v>58</v>
      </c>
      <c r="G23" t="s">
        <v>169</v>
      </c>
      <c r="H23">
        <v>90</v>
      </c>
      <c r="I23">
        <v>1.5</v>
      </c>
      <c r="J23">
        <v>14700</v>
      </c>
      <c r="K23">
        <v>9800</v>
      </c>
      <c r="L23" t="s">
        <v>162</v>
      </c>
      <c r="M23" t="s">
        <v>163</v>
      </c>
    </row>
    <row r="24" spans="1:13" x14ac:dyDescent="0.25">
      <c r="A24" t="s">
        <v>187</v>
      </c>
      <c r="B24" t="s">
        <v>5</v>
      </c>
      <c r="C24" t="s">
        <v>11</v>
      </c>
      <c r="D24" t="s">
        <v>51</v>
      </c>
      <c r="E24" t="s">
        <v>52</v>
      </c>
      <c r="F24" t="s">
        <v>59</v>
      </c>
      <c r="G24" t="s">
        <v>169</v>
      </c>
      <c r="H24">
        <v>180</v>
      </c>
      <c r="I24">
        <v>3</v>
      </c>
      <c r="J24">
        <v>7850</v>
      </c>
      <c r="K24">
        <v>2617</v>
      </c>
      <c r="L24" t="s">
        <v>162</v>
      </c>
      <c r="M24" t="s">
        <v>163</v>
      </c>
    </row>
    <row r="25" spans="1:13" x14ac:dyDescent="0.25">
      <c r="A25" t="s">
        <v>188</v>
      </c>
      <c r="B25" t="s">
        <v>1</v>
      </c>
      <c r="C25" t="s">
        <v>11</v>
      </c>
      <c r="D25" t="s">
        <v>51</v>
      </c>
      <c r="E25" t="s">
        <v>52</v>
      </c>
      <c r="F25" t="s">
        <v>60</v>
      </c>
      <c r="G25" t="s">
        <v>169</v>
      </c>
      <c r="H25">
        <v>195</v>
      </c>
      <c r="I25">
        <v>3.25</v>
      </c>
      <c r="J25">
        <v>14700</v>
      </c>
      <c r="K25">
        <v>4523</v>
      </c>
      <c r="L25" t="s">
        <v>162</v>
      </c>
      <c r="M25" t="s">
        <v>163</v>
      </c>
    </row>
    <row r="26" spans="1:13" x14ac:dyDescent="0.25">
      <c r="A26" t="s">
        <v>189</v>
      </c>
      <c r="B26" t="s">
        <v>1</v>
      </c>
      <c r="C26" t="s">
        <v>11</v>
      </c>
      <c r="D26" t="s">
        <v>51</v>
      </c>
      <c r="E26" t="s">
        <v>52</v>
      </c>
      <c r="F26" t="s">
        <v>61</v>
      </c>
      <c r="G26" t="s">
        <v>190</v>
      </c>
      <c r="H26">
        <v>20</v>
      </c>
      <c r="I26">
        <v>0.33</v>
      </c>
      <c r="J26" t="s">
        <v>14</v>
      </c>
      <c r="K26" t="s">
        <v>14</v>
      </c>
      <c r="L26" t="s">
        <v>162</v>
      </c>
      <c r="M26" t="s">
        <v>163</v>
      </c>
    </row>
    <row r="27" spans="1:13" x14ac:dyDescent="0.25">
      <c r="A27" t="s">
        <v>191</v>
      </c>
      <c r="B27" t="s">
        <v>3</v>
      </c>
      <c r="C27" t="s">
        <v>11</v>
      </c>
      <c r="D27" t="s">
        <v>51</v>
      </c>
      <c r="E27" t="s">
        <v>52</v>
      </c>
      <c r="F27" t="s">
        <v>62</v>
      </c>
      <c r="G27" t="s">
        <v>14</v>
      </c>
      <c r="H27">
        <v>450</v>
      </c>
      <c r="I27">
        <v>7.5</v>
      </c>
      <c r="J27" t="s">
        <v>14</v>
      </c>
      <c r="K27" t="s">
        <v>14</v>
      </c>
      <c r="L27" t="s">
        <v>162</v>
      </c>
      <c r="M27" t="s">
        <v>163</v>
      </c>
    </row>
    <row r="28" spans="1:13" x14ac:dyDescent="0.25">
      <c r="A28" t="s">
        <v>192</v>
      </c>
      <c r="B28" t="s">
        <v>4</v>
      </c>
      <c r="C28" t="s">
        <v>11</v>
      </c>
      <c r="D28" t="s">
        <v>51</v>
      </c>
      <c r="E28" t="s">
        <v>52</v>
      </c>
      <c r="F28" t="s">
        <v>63</v>
      </c>
      <c r="G28" t="s">
        <v>169</v>
      </c>
      <c r="H28">
        <v>350</v>
      </c>
      <c r="I28">
        <v>5.83</v>
      </c>
      <c r="J28">
        <v>7350</v>
      </c>
      <c r="K28">
        <v>1260</v>
      </c>
      <c r="L28" t="s">
        <v>162</v>
      </c>
      <c r="M28" t="s">
        <v>163</v>
      </c>
    </row>
    <row r="29" spans="1:13" x14ac:dyDescent="0.25">
      <c r="A29" t="s">
        <v>193</v>
      </c>
      <c r="B29" t="s">
        <v>2</v>
      </c>
      <c r="C29" t="s">
        <v>11</v>
      </c>
      <c r="D29" t="s">
        <v>51</v>
      </c>
      <c r="E29" t="s">
        <v>52</v>
      </c>
      <c r="F29" t="s">
        <v>64</v>
      </c>
      <c r="G29" t="s">
        <v>169</v>
      </c>
      <c r="H29">
        <v>180</v>
      </c>
      <c r="I29">
        <v>3</v>
      </c>
      <c r="J29">
        <v>7350</v>
      </c>
      <c r="K29">
        <v>2450</v>
      </c>
      <c r="L29" t="s">
        <v>162</v>
      </c>
      <c r="M29" t="s">
        <v>163</v>
      </c>
    </row>
    <row r="30" spans="1:13" x14ac:dyDescent="0.25">
      <c r="A30" t="s">
        <v>194</v>
      </c>
      <c r="B30" t="s">
        <v>1</v>
      </c>
      <c r="C30" t="s">
        <v>11</v>
      </c>
      <c r="D30" t="s">
        <v>51</v>
      </c>
      <c r="E30" t="s">
        <v>52</v>
      </c>
      <c r="F30" t="s">
        <v>65</v>
      </c>
      <c r="G30" t="s">
        <v>195</v>
      </c>
      <c r="H30">
        <v>200</v>
      </c>
      <c r="I30">
        <v>3.33</v>
      </c>
      <c r="J30">
        <v>22050</v>
      </c>
      <c r="K30">
        <v>6615</v>
      </c>
      <c r="L30" t="s">
        <v>162</v>
      </c>
      <c r="M30" t="s">
        <v>163</v>
      </c>
    </row>
    <row r="31" spans="1:13" x14ac:dyDescent="0.25">
      <c r="A31" t="s">
        <v>196</v>
      </c>
      <c r="B31" t="s">
        <v>1</v>
      </c>
      <c r="C31" t="s">
        <v>11</v>
      </c>
      <c r="D31" t="s">
        <v>51</v>
      </c>
      <c r="E31" t="s">
        <v>52</v>
      </c>
      <c r="F31" t="s">
        <v>66</v>
      </c>
      <c r="G31" t="s">
        <v>197</v>
      </c>
      <c r="H31">
        <v>70</v>
      </c>
      <c r="I31">
        <v>1.17</v>
      </c>
      <c r="J31">
        <v>3000</v>
      </c>
      <c r="K31">
        <v>2571</v>
      </c>
      <c r="L31" t="s">
        <v>162</v>
      </c>
      <c r="M31" t="s">
        <v>163</v>
      </c>
    </row>
    <row r="32" spans="1:13" x14ac:dyDescent="0.25">
      <c r="A32" t="s">
        <v>198</v>
      </c>
      <c r="B32" t="s">
        <v>5</v>
      </c>
      <c r="C32" t="s">
        <v>11</v>
      </c>
      <c r="D32" t="s">
        <v>51</v>
      </c>
      <c r="E32" t="s">
        <v>52</v>
      </c>
      <c r="F32" t="s">
        <v>67</v>
      </c>
      <c r="G32" t="s">
        <v>169</v>
      </c>
      <c r="H32">
        <v>110</v>
      </c>
      <c r="I32">
        <v>1.83</v>
      </c>
      <c r="J32">
        <v>9500</v>
      </c>
      <c r="K32">
        <v>5182</v>
      </c>
      <c r="L32" t="s">
        <v>162</v>
      </c>
      <c r="M32" t="s">
        <v>163</v>
      </c>
    </row>
    <row r="33" spans="1:13" x14ac:dyDescent="0.25">
      <c r="A33" t="s">
        <v>199</v>
      </c>
      <c r="B33" t="s">
        <v>3</v>
      </c>
      <c r="C33" t="s">
        <v>11</v>
      </c>
      <c r="D33" t="s">
        <v>51</v>
      </c>
      <c r="E33" t="s">
        <v>52</v>
      </c>
      <c r="F33" t="s">
        <v>68</v>
      </c>
      <c r="G33" t="s">
        <v>169</v>
      </c>
      <c r="H33">
        <v>200</v>
      </c>
      <c r="I33">
        <v>3.33</v>
      </c>
      <c r="J33">
        <v>7350</v>
      </c>
      <c r="K33">
        <v>2205</v>
      </c>
      <c r="L33" t="s">
        <v>162</v>
      </c>
      <c r="M33" t="s">
        <v>163</v>
      </c>
    </row>
    <row r="34" spans="1:13" x14ac:dyDescent="0.25">
      <c r="A34" t="s">
        <v>200</v>
      </c>
      <c r="B34" t="s">
        <v>2</v>
      </c>
      <c r="C34" t="s">
        <v>11</v>
      </c>
      <c r="D34" t="s">
        <v>51</v>
      </c>
      <c r="E34" t="s">
        <v>52</v>
      </c>
      <c r="F34" t="s">
        <v>69</v>
      </c>
      <c r="G34" t="s">
        <v>169</v>
      </c>
      <c r="H34">
        <v>185</v>
      </c>
      <c r="I34">
        <v>3.08</v>
      </c>
      <c r="J34">
        <v>14700</v>
      </c>
      <c r="K34">
        <v>4768</v>
      </c>
      <c r="L34" t="s">
        <v>162</v>
      </c>
      <c r="M34" t="s">
        <v>163</v>
      </c>
    </row>
    <row r="35" spans="1:13" x14ac:dyDescent="0.25">
      <c r="A35" t="s">
        <v>201</v>
      </c>
      <c r="B35" t="s">
        <v>4</v>
      </c>
      <c r="C35" t="s">
        <v>11</v>
      </c>
      <c r="D35" t="s">
        <v>51</v>
      </c>
      <c r="E35" t="s">
        <v>52</v>
      </c>
      <c r="F35" t="s">
        <v>70</v>
      </c>
      <c r="G35" t="s">
        <v>169</v>
      </c>
      <c r="H35">
        <v>195</v>
      </c>
      <c r="I35">
        <v>3.25</v>
      </c>
      <c r="J35">
        <v>18375</v>
      </c>
      <c r="K35">
        <v>5654</v>
      </c>
      <c r="L35" t="s">
        <v>162</v>
      </c>
      <c r="M35" t="s">
        <v>163</v>
      </c>
    </row>
    <row r="36" spans="1:13" x14ac:dyDescent="0.25">
      <c r="A36" t="s">
        <v>202</v>
      </c>
      <c r="B36" t="s">
        <v>5</v>
      </c>
      <c r="C36" t="s">
        <v>11</v>
      </c>
      <c r="D36" t="s">
        <v>51</v>
      </c>
      <c r="E36" t="s">
        <v>52</v>
      </c>
      <c r="F36" t="s">
        <v>71</v>
      </c>
      <c r="G36" t="s">
        <v>169</v>
      </c>
      <c r="H36">
        <v>210</v>
      </c>
      <c r="I36">
        <v>3.5</v>
      </c>
      <c r="J36">
        <v>18375</v>
      </c>
      <c r="K36">
        <v>5250</v>
      </c>
      <c r="L36" t="s">
        <v>162</v>
      </c>
      <c r="M36" t="s">
        <v>163</v>
      </c>
    </row>
    <row r="37" spans="1:13" x14ac:dyDescent="0.25">
      <c r="A37" t="s">
        <v>203</v>
      </c>
      <c r="B37" t="s">
        <v>4</v>
      </c>
      <c r="C37" t="s">
        <v>11</v>
      </c>
      <c r="D37" t="s">
        <v>51</v>
      </c>
      <c r="E37" t="s">
        <v>52</v>
      </c>
      <c r="F37" t="s">
        <v>72</v>
      </c>
      <c r="G37" t="s">
        <v>169</v>
      </c>
      <c r="H37">
        <v>170</v>
      </c>
      <c r="I37">
        <v>2.83</v>
      </c>
      <c r="J37">
        <v>14700</v>
      </c>
      <c r="K37">
        <v>5188</v>
      </c>
      <c r="L37" t="s">
        <v>162</v>
      </c>
      <c r="M37" t="s">
        <v>163</v>
      </c>
    </row>
    <row r="38" spans="1:13" x14ac:dyDescent="0.25">
      <c r="A38" t="s">
        <v>204</v>
      </c>
      <c r="B38" t="s">
        <v>5</v>
      </c>
      <c r="C38" t="s">
        <v>11</v>
      </c>
      <c r="D38" t="s">
        <v>51</v>
      </c>
      <c r="E38" t="s">
        <v>52</v>
      </c>
      <c r="F38" t="s">
        <v>73</v>
      </c>
      <c r="G38" t="s">
        <v>169</v>
      </c>
      <c r="H38">
        <v>60</v>
      </c>
      <c r="I38">
        <v>1</v>
      </c>
      <c r="J38">
        <v>14700</v>
      </c>
      <c r="K38">
        <v>14700</v>
      </c>
      <c r="L38" t="s">
        <v>162</v>
      </c>
      <c r="M38" t="s">
        <v>163</v>
      </c>
    </row>
    <row r="39" spans="1:13" x14ac:dyDescent="0.25">
      <c r="A39" t="s">
        <v>205</v>
      </c>
      <c r="B39" t="s">
        <v>2</v>
      </c>
      <c r="C39" t="s">
        <v>11</v>
      </c>
      <c r="D39" t="s">
        <v>51</v>
      </c>
      <c r="E39" t="s">
        <v>52</v>
      </c>
      <c r="F39" t="s">
        <v>74</v>
      </c>
      <c r="G39" t="s">
        <v>169</v>
      </c>
      <c r="H39">
        <v>110</v>
      </c>
      <c r="I39">
        <v>1.83</v>
      </c>
      <c r="J39">
        <v>14700</v>
      </c>
      <c r="K39">
        <v>8018</v>
      </c>
      <c r="L39" t="s">
        <v>162</v>
      </c>
      <c r="M39" t="s">
        <v>163</v>
      </c>
    </row>
    <row r="40" spans="1:13" x14ac:dyDescent="0.25">
      <c r="A40" t="s">
        <v>206</v>
      </c>
      <c r="B40" t="s">
        <v>1</v>
      </c>
      <c r="C40" t="s">
        <v>11</v>
      </c>
      <c r="D40" t="s">
        <v>75</v>
      </c>
      <c r="E40" t="s">
        <v>76</v>
      </c>
      <c r="F40" t="s">
        <v>83</v>
      </c>
      <c r="G40" t="s">
        <v>14</v>
      </c>
      <c r="H40">
        <v>530</v>
      </c>
      <c r="I40">
        <v>8.83</v>
      </c>
      <c r="J40">
        <v>45246</v>
      </c>
      <c r="K40">
        <v>5122</v>
      </c>
      <c r="L40" t="s">
        <v>162</v>
      </c>
      <c r="M40" t="s">
        <v>163</v>
      </c>
    </row>
    <row r="41" spans="1:13" x14ac:dyDescent="0.25">
      <c r="A41" t="s">
        <v>207</v>
      </c>
      <c r="B41" t="s">
        <v>2</v>
      </c>
      <c r="C41" t="s">
        <v>11</v>
      </c>
      <c r="D41" t="s">
        <v>75</v>
      </c>
      <c r="E41" t="s">
        <v>76</v>
      </c>
      <c r="F41" t="s">
        <v>84</v>
      </c>
      <c r="G41" t="s">
        <v>14</v>
      </c>
      <c r="H41">
        <v>320</v>
      </c>
      <c r="I41">
        <v>5.33</v>
      </c>
      <c r="J41">
        <v>32081</v>
      </c>
      <c r="K41">
        <v>6015</v>
      </c>
      <c r="L41" t="s">
        <v>162</v>
      </c>
      <c r="M41" t="s">
        <v>163</v>
      </c>
    </row>
    <row r="42" spans="1:13" x14ac:dyDescent="0.25">
      <c r="A42" t="s">
        <v>208</v>
      </c>
      <c r="B42" t="s">
        <v>3</v>
      </c>
      <c r="C42" t="s">
        <v>11</v>
      </c>
      <c r="D42" t="s">
        <v>75</v>
      </c>
      <c r="E42" t="s">
        <v>76</v>
      </c>
      <c r="F42" t="s">
        <v>85</v>
      </c>
      <c r="G42" t="s">
        <v>169</v>
      </c>
      <c r="H42">
        <v>160</v>
      </c>
      <c r="I42">
        <v>2.67</v>
      </c>
      <c r="J42">
        <v>14700</v>
      </c>
      <c r="K42">
        <v>5513</v>
      </c>
      <c r="L42" t="s">
        <v>162</v>
      </c>
      <c r="M42" t="s">
        <v>163</v>
      </c>
    </row>
    <row r="43" spans="1:13" x14ac:dyDescent="0.25">
      <c r="A43" t="s">
        <v>209</v>
      </c>
      <c r="B43" t="s">
        <v>2</v>
      </c>
      <c r="C43" t="s">
        <v>11</v>
      </c>
      <c r="D43" t="s">
        <v>75</v>
      </c>
      <c r="E43" t="s">
        <v>76</v>
      </c>
      <c r="F43" t="s">
        <v>86</v>
      </c>
      <c r="G43" t="s">
        <v>14</v>
      </c>
      <c r="H43">
        <v>105</v>
      </c>
      <c r="I43">
        <v>1.75</v>
      </c>
      <c r="J43">
        <v>10404</v>
      </c>
      <c r="K43">
        <v>5945</v>
      </c>
      <c r="L43" t="s">
        <v>162</v>
      </c>
      <c r="M43" t="s">
        <v>163</v>
      </c>
    </row>
    <row r="44" spans="1:13" x14ac:dyDescent="0.25">
      <c r="A44" t="s">
        <v>210</v>
      </c>
      <c r="B44" t="s">
        <v>5</v>
      </c>
      <c r="C44" t="s">
        <v>11</v>
      </c>
      <c r="D44" t="s">
        <v>75</v>
      </c>
      <c r="E44" t="s">
        <v>76</v>
      </c>
      <c r="F44" t="s">
        <v>87</v>
      </c>
      <c r="G44" t="s">
        <v>169</v>
      </c>
      <c r="H44">
        <v>230</v>
      </c>
      <c r="I44">
        <v>3.83</v>
      </c>
      <c r="J44">
        <v>23625</v>
      </c>
      <c r="K44">
        <v>6163</v>
      </c>
      <c r="L44" t="s">
        <v>162</v>
      </c>
      <c r="M44" t="s">
        <v>163</v>
      </c>
    </row>
    <row r="45" spans="1:13" x14ac:dyDescent="0.25">
      <c r="A45" t="s">
        <v>211</v>
      </c>
      <c r="B45" t="s">
        <v>4</v>
      </c>
      <c r="C45" t="s">
        <v>11</v>
      </c>
      <c r="D45" t="s">
        <v>75</v>
      </c>
      <c r="E45" t="s">
        <v>76</v>
      </c>
      <c r="F45" t="s">
        <v>88</v>
      </c>
      <c r="G45" t="s">
        <v>169</v>
      </c>
      <c r="H45">
        <v>260</v>
      </c>
      <c r="I45">
        <v>4.33</v>
      </c>
      <c r="J45">
        <v>14700</v>
      </c>
      <c r="K45">
        <v>3392</v>
      </c>
      <c r="L45" t="s">
        <v>162</v>
      </c>
      <c r="M45" t="s">
        <v>163</v>
      </c>
    </row>
    <row r="46" spans="1:13" x14ac:dyDescent="0.25">
      <c r="A46" t="s">
        <v>212</v>
      </c>
      <c r="B46" t="s">
        <v>5</v>
      </c>
      <c r="C46" t="s">
        <v>11</v>
      </c>
      <c r="D46" t="s">
        <v>75</v>
      </c>
      <c r="E46" t="s">
        <v>76</v>
      </c>
      <c r="F46" t="s">
        <v>89</v>
      </c>
      <c r="G46" t="s">
        <v>169</v>
      </c>
      <c r="H46">
        <v>170</v>
      </c>
      <c r="I46">
        <v>2.83</v>
      </c>
      <c r="J46">
        <v>16800</v>
      </c>
      <c r="K46">
        <v>5929</v>
      </c>
      <c r="L46" t="s">
        <v>162</v>
      </c>
      <c r="M46" t="s">
        <v>163</v>
      </c>
    </row>
    <row r="47" spans="1:13" x14ac:dyDescent="0.25">
      <c r="A47" t="s">
        <v>213</v>
      </c>
      <c r="B47" t="s">
        <v>4</v>
      </c>
      <c r="C47" t="s">
        <v>11</v>
      </c>
      <c r="D47" t="s">
        <v>75</v>
      </c>
      <c r="E47" t="s">
        <v>76</v>
      </c>
      <c r="F47" t="s">
        <v>90</v>
      </c>
      <c r="G47" t="s">
        <v>169</v>
      </c>
      <c r="H47">
        <v>180</v>
      </c>
      <c r="I47">
        <v>3</v>
      </c>
      <c r="J47">
        <v>14700</v>
      </c>
      <c r="K47">
        <v>4900</v>
      </c>
      <c r="L47" t="s">
        <v>162</v>
      </c>
      <c r="M47" t="s">
        <v>163</v>
      </c>
    </row>
    <row r="48" spans="1:13" x14ac:dyDescent="0.25">
      <c r="A48" t="s">
        <v>214</v>
      </c>
      <c r="B48" t="s">
        <v>3</v>
      </c>
      <c r="C48" t="s">
        <v>11</v>
      </c>
      <c r="D48" t="s">
        <v>75</v>
      </c>
      <c r="E48" t="s">
        <v>76</v>
      </c>
      <c r="F48" t="s">
        <v>91</v>
      </c>
      <c r="G48" t="s">
        <v>169</v>
      </c>
      <c r="H48">
        <v>210</v>
      </c>
      <c r="I48">
        <v>3.5</v>
      </c>
      <c r="J48">
        <v>14700</v>
      </c>
      <c r="K48">
        <v>4200</v>
      </c>
      <c r="L48" t="s">
        <v>162</v>
      </c>
      <c r="M48" t="s">
        <v>163</v>
      </c>
    </row>
    <row r="49" spans="1:13" x14ac:dyDescent="0.25">
      <c r="A49" t="s">
        <v>215</v>
      </c>
      <c r="B49" t="s">
        <v>1</v>
      </c>
      <c r="C49" t="s">
        <v>11</v>
      </c>
      <c r="D49" t="s">
        <v>92</v>
      </c>
      <c r="E49" t="s">
        <v>93</v>
      </c>
      <c r="F49" t="s">
        <v>94</v>
      </c>
      <c r="G49" t="s">
        <v>169</v>
      </c>
      <c r="H49">
        <v>200</v>
      </c>
      <c r="I49">
        <v>3.33</v>
      </c>
      <c r="J49">
        <v>16800</v>
      </c>
      <c r="K49">
        <v>5040</v>
      </c>
      <c r="L49" t="s">
        <v>162</v>
      </c>
      <c r="M49" t="s">
        <v>163</v>
      </c>
    </row>
    <row r="50" spans="1:13" x14ac:dyDescent="0.25">
      <c r="A50" t="s">
        <v>216</v>
      </c>
      <c r="B50" t="s">
        <v>1</v>
      </c>
      <c r="C50" t="s">
        <v>11</v>
      </c>
      <c r="D50" t="s">
        <v>92</v>
      </c>
      <c r="E50" t="s">
        <v>93</v>
      </c>
      <c r="F50" t="s">
        <v>95</v>
      </c>
      <c r="G50" t="s">
        <v>195</v>
      </c>
      <c r="H50">
        <v>410</v>
      </c>
      <c r="I50">
        <v>6.83</v>
      </c>
      <c r="J50">
        <v>19950</v>
      </c>
      <c r="K50">
        <v>2920</v>
      </c>
      <c r="L50" t="s">
        <v>162</v>
      </c>
      <c r="M50" t="s">
        <v>163</v>
      </c>
    </row>
    <row r="51" spans="1:13" x14ac:dyDescent="0.25">
      <c r="A51" t="s">
        <v>217</v>
      </c>
      <c r="B51" t="s">
        <v>5</v>
      </c>
      <c r="C51" t="s">
        <v>11</v>
      </c>
      <c r="D51" t="s">
        <v>92</v>
      </c>
      <c r="E51" t="s">
        <v>93</v>
      </c>
      <c r="F51" t="s">
        <v>96</v>
      </c>
      <c r="G51" t="s">
        <v>169</v>
      </c>
      <c r="H51">
        <v>250</v>
      </c>
      <c r="I51">
        <v>4.17</v>
      </c>
      <c r="J51">
        <v>14700</v>
      </c>
      <c r="K51">
        <v>3528</v>
      </c>
      <c r="L51" t="s">
        <v>162</v>
      </c>
      <c r="M51" t="s">
        <v>163</v>
      </c>
    </row>
    <row r="52" spans="1:13" x14ac:dyDescent="0.25">
      <c r="A52" t="s">
        <v>218</v>
      </c>
      <c r="B52" t="s">
        <v>5</v>
      </c>
      <c r="C52" t="s">
        <v>11</v>
      </c>
      <c r="D52" t="s">
        <v>92</v>
      </c>
      <c r="E52" t="s">
        <v>93</v>
      </c>
      <c r="F52" t="s">
        <v>97</v>
      </c>
      <c r="G52" t="s">
        <v>169</v>
      </c>
      <c r="H52">
        <v>195</v>
      </c>
      <c r="I52">
        <v>3.25</v>
      </c>
      <c r="J52">
        <v>14700</v>
      </c>
      <c r="K52">
        <v>4523</v>
      </c>
      <c r="L52" t="s">
        <v>162</v>
      </c>
      <c r="M52" t="s">
        <v>163</v>
      </c>
    </row>
    <row r="53" spans="1:13" x14ac:dyDescent="0.25">
      <c r="A53" t="s">
        <v>219</v>
      </c>
      <c r="B53" t="s">
        <v>5</v>
      </c>
      <c r="C53" t="s">
        <v>11</v>
      </c>
      <c r="D53" t="s">
        <v>92</v>
      </c>
      <c r="E53" t="s">
        <v>93</v>
      </c>
      <c r="F53" t="s">
        <v>59</v>
      </c>
      <c r="G53" t="s">
        <v>169</v>
      </c>
      <c r="H53">
        <v>180</v>
      </c>
      <c r="I53">
        <v>3</v>
      </c>
      <c r="J53">
        <v>7850</v>
      </c>
      <c r="K53">
        <v>2617</v>
      </c>
      <c r="L53" t="s">
        <v>162</v>
      </c>
      <c r="M53" t="s">
        <v>163</v>
      </c>
    </row>
    <row r="54" spans="1:13" x14ac:dyDescent="0.25">
      <c r="A54" t="s">
        <v>220</v>
      </c>
      <c r="B54" t="s">
        <v>4</v>
      </c>
      <c r="C54" t="s">
        <v>11</v>
      </c>
      <c r="D54" t="s">
        <v>92</v>
      </c>
      <c r="E54" t="s">
        <v>93</v>
      </c>
      <c r="F54" t="s">
        <v>63</v>
      </c>
      <c r="G54" t="s">
        <v>169</v>
      </c>
      <c r="H54">
        <v>350</v>
      </c>
      <c r="I54">
        <v>5.83</v>
      </c>
      <c r="J54">
        <v>7350</v>
      </c>
      <c r="K54">
        <v>1260</v>
      </c>
      <c r="L54" t="s">
        <v>162</v>
      </c>
      <c r="M54" t="s">
        <v>163</v>
      </c>
    </row>
    <row r="55" spans="1:13" x14ac:dyDescent="0.25">
      <c r="A55" t="s">
        <v>221</v>
      </c>
      <c r="B55" t="s">
        <v>2</v>
      </c>
      <c r="C55" t="s">
        <v>11</v>
      </c>
      <c r="D55" t="s">
        <v>92</v>
      </c>
      <c r="E55" t="s">
        <v>93</v>
      </c>
      <c r="F55" t="s">
        <v>64</v>
      </c>
      <c r="G55" t="s">
        <v>169</v>
      </c>
      <c r="H55">
        <v>180</v>
      </c>
      <c r="I55">
        <v>3</v>
      </c>
      <c r="J55">
        <v>7350</v>
      </c>
      <c r="K55">
        <v>2450</v>
      </c>
      <c r="L55" t="s">
        <v>162</v>
      </c>
      <c r="M55" t="s">
        <v>163</v>
      </c>
    </row>
    <row r="56" spans="1:13" x14ac:dyDescent="0.25">
      <c r="A56" t="s">
        <v>222</v>
      </c>
      <c r="B56" t="s">
        <v>3</v>
      </c>
      <c r="C56" t="s">
        <v>11</v>
      </c>
      <c r="D56" t="s">
        <v>92</v>
      </c>
      <c r="E56" t="s">
        <v>93</v>
      </c>
      <c r="F56" t="s">
        <v>68</v>
      </c>
      <c r="G56" t="s">
        <v>169</v>
      </c>
      <c r="H56">
        <v>200</v>
      </c>
      <c r="I56">
        <v>3.33</v>
      </c>
      <c r="J56">
        <v>7350</v>
      </c>
      <c r="K56">
        <v>2205</v>
      </c>
      <c r="L56" t="s">
        <v>162</v>
      </c>
      <c r="M56" t="s">
        <v>163</v>
      </c>
    </row>
    <row r="57" spans="1:13" x14ac:dyDescent="0.25">
      <c r="A57" t="s">
        <v>223</v>
      </c>
      <c r="B57" t="s">
        <v>3</v>
      </c>
      <c r="C57" t="s">
        <v>11</v>
      </c>
      <c r="D57" t="s">
        <v>92</v>
      </c>
      <c r="E57" t="s">
        <v>93</v>
      </c>
      <c r="F57" t="s">
        <v>98</v>
      </c>
      <c r="G57" t="s">
        <v>169</v>
      </c>
      <c r="H57">
        <v>190</v>
      </c>
      <c r="I57">
        <v>3.17</v>
      </c>
      <c r="J57">
        <v>20475</v>
      </c>
      <c r="K57">
        <v>6466</v>
      </c>
      <c r="L57" t="s">
        <v>162</v>
      </c>
      <c r="M57" t="s">
        <v>163</v>
      </c>
    </row>
    <row r="58" spans="1:13" x14ac:dyDescent="0.25">
      <c r="A58" t="s">
        <v>224</v>
      </c>
      <c r="B58" t="s">
        <v>5</v>
      </c>
      <c r="C58" t="s">
        <v>11</v>
      </c>
      <c r="D58" t="s">
        <v>92</v>
      </c>
      <c r="E58" t="s">
        <v>93</v>
      </c>
      <c r="F58" t="s">
        <v>99</v>
      </c>
      <c r="G58" t="s">
        <v>175</v>
      </c>
      <c r="H58">
        <v>15</v>
      </c>
      <c r="I58">
        <v>0.25</v>
      </c>
      <c r="J58">
        <v>12851</v>
      </c>
      <c r="K58">
        <v>51404</v>
      </c>
      <c r="L58" t="s">
        <v>162</v>
      </c>
      <c r="M58" t="s">
        <v>163</v>
      </c>
    </row>
    <row r="59" spans="1:13" x14ac:dyDescent="0.25">
      <c r="A59" t="s">
        <v>225</v>
      </c>
      <c r="B59" t="s">
        <v>5</v>
      </c>
      <c r="C59" t="s">
        <v>11</v>
      </c>
      <c r="D59" t="s">
        <v>92</v>
      </c>
      <c r="E59" t="s">
        <v>93</v>
      </c>
      <c r="F59" t="s">
        <v>100</v>
      </c>
      <c r="G59" t="s">
        <v>175</v>
      </c>
      <c r="H59">
        <v>15</v>
      </c>
      <c r="I59">
        <v>0.25</v>
      </c>
      <c r="J59">
        <v>3000</v>
      </c>
      <c r="K59">
        <v>12000</v>
      </c>
      <c r="L59" t="s">
        <v>162</v>
      </c>
      <c r="M59" t="s">
        <v>163</v>
      </c>
    </row>
    <row r="60" spans="1:13" x14ac:dyDescent="0.25">
      <c r="A60" t="s">
        <v>226</v>
      </c>
      <c r="B60" t="s">
        <v>5</v>
      </c>
      <c r="C60" t="s">
        <v>11</v>
      </c>
      <c r="D60" t="s">
        <v>92</v>
      </c>
      <c r="E60" t="s">
        <v>93</v>
      </c>
      <c r="F60" t="s">
        <v>101</v>
      </c>
      <c r="G60" t="s">
        <v>175</v>
      </c>
      <c r="H60">
        <v>15</v>
      </c>
      <c r="I60">
        <v>0.25</v>
      </c>
      <c r="J60">
        <v>3000</v>
      </c>
      <c r="K60">
        <v>12000</v>
      </c>
      <c r="L60" t="s">
        <v>162</v>
      </c>
      <c r="M60" t="s">
        <v>163</v>
      </c>
    </row>
    <row r="61" spans="1:13" x14ac:dyDescent="0.25">
      <c r="A61" t="s">
        <v>227</v>
      </c>
      <c r="B61" t="s">
        <v>5</v>
      </c>
      <c r="C61" t="s">
        <v>11</v>
      </c>
      <c r="D61" t="s">
        <v>92</v>
      </c>
      <c r="E61" t="s">
        <v>93</v>
      </c>
      <c r="F61" t="s">
        <v>102</v>
      </c>
      <c r="G61" t="s">
        <v>175</v>
      </c>
      <c r="H61">
        <v>15</v>
      </c>
      <c r="I61">
        <v>0.25</v>
      </c>
      <c r="J61">
        <v>3000</v>
      </c>
      <c r="K61">
        <v>12000</v>
      </c>
      <c r="L61" t="s">
        <v>162</v>
      </c>
      <c r="M61" t="s">
        <v>163</v>
      </c>
    </row>
    <row r="62" spans="1:13" x14ac:dyDescent="0.25">
      <c r="A62" t="s">
        <v>228</v>
      </c>
      <c r="B62" t="s">
        <v>2</v>
      </c>
      <c r="C62" t="s">
        <v>11</v>
      </c>
      <c r="D62" t="s">
        <v>92</v>
      </c>
      <c r="E62" t="s">
        <v>93</v>
      </c>
      <c r="F62" t="s">
        <v>103</v>
      </c>
      <c r="G62" t="s">
        <v>169</v>
      </c>
      <c r="H62">
        <v>170</v>
      </c>
      <c r="I62">
        <v>2.83</v>
      </c>
      <c r="J62">
        <v>14700</v>
      </c>
      <c r="K62">
        <v>5188</v>
      </c>
      <c r="L62" t="s">
        <v>162</v>
      </c>
      <c r="M62" t="s">
        <v>163</v>
      </c>
    </row>
    <row r="63" spans="1:13" x14ac:dyDescent="0.25">
      <c r="A63" t="s">
        <v>229</v>
      </c>
      <c r="B63" t="s">
        <v>2</v>
      </c>
      <c r="C63" t="s">
        <v>11</v>
      </c>
      <c r="D63" t="s">
        <v>92</v>
      </c>
      <c r="E63" t="s">
        <v>93</v>
      </c>
      <c r="F63" t="s">
        <v>104</v>
      </c>
      <c r="G63" t="s">
        <v>230</v>
      </c>
      <c r="H63">
        <v>40</v>
      </c>
      <c r="I63">
        <v>0.67</v>
      </c>
      <c r="J63" t="s">
        <v>14</v>
      </c>
      <c r="K63" t="s">
        <v>14</v>
      </c>
      <c r="L63" t="s">
        <v>162</v>
      </c>
      <c r="M63" t="s">
        <v>163</v>
      </c>
    </row>
    <row r="64" spans="1:13" x14ac:dyDescent="0.25">
      <c r="A64" t="s">
        <v>231</v>
      </c>
      <c r="B64" t="s">
        <v>2</v>
      </c>
      <c r="C64" t="s">
        <v>11</v>
      </c>
      <c r="D64" t="s">
        <v>92</v>
      </c>
      <c r="E64" t="s">
        <v>93</v>
      </c>
      <c r="F64" t="s">
        <v>105</v>
      </c>
      <c r="G64" t="s">
        <v>169</v>
      </c>
      <c r="H64">
        <v>210</v>
      </c>
      <c r="I64">
        <v>3.5</v>
      </c>
      <c r="J64">
        <v>14700</v>
      </c>
      <c r="K64">
        <v>4200</v>
      </c>
      <c r="L64" t="s">
        <v>162</v>
      </c>
      <c r="M64" t="s">
        <v>163</v>
      </c>
    </row>
    <row r="65" spans="1:13" x14ac:dyDescent="0.25">
      <c r="A65" t="s">
        <v>232</v>
      </c>
      <c r="B65" t="s">
        <v>4</v>
      </c>
      <c r="C65" t="s">
        <v>11</v>
      </c>
      <c r="D65" t="s">
        <v>92</v>
      </c>
      <c r="E65" t="s">
        <v>93</v>
      </c>
      <c r="F65" t="s">
        <v>106</v>
      </c>
      <c r="G65" t="s">
        <v>169</v>
      </c>
      <c r="H65">
        <v>130</v>
      </c>
      <c r="I65">
        <v>2.17</v>
      </c>
      <c r="J65">
        <v>14700</v>
      </c>
      <c r="K65">
        <v>6785</v>
      </c>
      <c r="L65" t="s">
        <v>162</v>
      </c>
      <c r="M65" t="s">
        <v>163</v>
      </c>
    </row>
    <row r="66" spans="1:13" x14ac:dyDescent="0.25">
      <c r="A66" t="s">
        <v>233</v>
      </c>
      <c r="B66" t="s">
        <v>3</v>
      </c>
      <c r="C66" t="s">
        <v>11</v>
      </c>
      <c r="D66" t="s">
        <v>92</v>
      </c>
      <c r="E66" t="s">
        <v>93</v>
      </c>
      <c r="F66" t="s">
        <v>107</v>
      </c>
      <c r="G66" t="s">
        <v>169</v>
      </c>
      <c r="H66">
        <v>180</v>
      </c>
      <c r="I66">
        <v>3</v>
      </c>
      <c r="J66">
        <v>18375</v>
      </c>
      <c r="K66">
        <v>6125</v>
      </c>
      <c r="L66" t="s">
        <v>162</v>
      </c>
      <c r="M66" t="s">
        <v>163</v>
      </c>
    </row>
    <row r="67" spans="1:13" x14ac:dyDescent="0.25">
      <c r="A67" t="s">
        <v>234</v>
      </c>
      <c r="B67" t="s">
        <v>4</v>
      </c>
      <c r="C67" t="s">
        <v>11</v>
      </c>
      <c r="D67" t="s">
        <v>92</v>
      </c>
      <c r="E67" t="s">
        <v>93</v>
      </c>
      <c r="F67" t="s">
        <v>108</v>
      </c>
      <c r="G67" t="s">
        <v>169</v>
      </c>
      <c r="H67">
        <v>215</v>
      </c>
      <c r="I67">
        <v>3.58</v>
      </c>
      <c r="J67">
        <v>14700</v>
      </c>
      <c r="K67">
        <v>4102</v>
      </c>
      <c r="L67" t="s">
        <v>162</v>
      </c>
      <c r="M67" t="s">
        <v>163</v>
      </c>
    </row>
    <row r="68" spans="1:13" x14ac:dyDescent="0.25">
      <c r="A68" t="s">
        <v>235</v>
      </c>
      <c r="B68" t="s">
        <v>1</v>
      </c>
      <c r="C68" t="s">
        <v>11</v>
      </c>
      <c r="D68" t="s">
        <v>109</v>
      </c>
      <c r="E68" t="s">
        <v>110</v>
      </c>
      <c r="F68" t="s">
        <v>117</v>
      </c>
      <c r="G68" t="s">
        <v>169</v>
      </c>
      <c r="H68">
        <v>210</v>
      </c>
      <c r="I68">
        <v>3.5</v>
      </c>
      <c r="J68">
        <v>18375</v>
      </c>
      <c r="K68">
        <v>5250</v>
      </c>
      <c r="L68" t="s">
        <v>162</v>
      </c>
      <c r="M68" t="s">
        <v>163</v>
      </c>
    </row>
    <row r="69" spans="1:13" x14ac:dyDescent="0.25">
      <c r="A69" t="s">
        <v>236</v>
      </c>
      <c r="B69" t="s">
        <v>1</v>
      </c>
      <c r="C69" t="s">
        <v>11</v>
      </c>
      <c r="D69" t="s">
        <v>109</v>
      </c>
      <c r="E69" t="s">
        <v>110</v>
      </c>
      <c r="F69" t="s">
        <v>118</v>
      </c>
      <c r="G69" t="s">
        <v>169</v>
      </c>
      <c r="H69">
        <v>140</v>
      </c>
      <c r="I69">
        <v>2.33</v>
      </c>
      <c r="J69">
        <v>14700</v>
      </c>
      <c r="K69">
        <v>6300</v>
      </c>
      <c r="L69" t="s">
        <v>162</v>
      </c>
      <c r="M69" t="s">
        <v>163</v>
      </c>
    </row>
    <row r="70" spans="1:13" x14ac:dyDescent="0.25">
      <c r="A70" t="s">
        <v>237</v>
      </c>
      <c r="B70" t="s">
        <v>1</v>
      </c>
      <c r="C70" t="s">
        <v>11</v>
      </c>
      <c r="D70" t="s">
        <v>109</v>
      </c>
      <c r="E70" t="s">
        <v>110</v>
      </c>
      <c r="F70" t="s">
        <v>119</v>
      </c>
      <c r="G70" t="s">
        <v>197</v>
      </c>
      <c r="H70">
        <v>30</v>
      </c>
      <c r="I70">
        <v>0.5</v>
      </c>
      <c r="J70">
        <v>3150</v>
      </c>
      <c r="K70">
        <v>6300</v>
      </c>
      <c r="L70" t="s">
        <v>162</v>
      </c>
      <c r="M70" t="s">
        <v>163</v>
      </c>
    </row>
    <row r="71" spans="1:13" x14ac:dyDescent="0.25">
      <c r="A71" t="s">
        <v>238</v>
      </c>
      <c r="B71" t="s">
        <v>3</v>
      </c>
      <c r="C71" t="s">
        <v>11</v>
      </c>
      <c r="D71" t="s">
        <v>109</v>
      </c>
      <c r="E71" t="s">
        <v>110</v>
      </c>
      <c r="F71" t="s">
        <v>120</v>
      </c>
      <c r="G71" t="s">
        <v>169</v>
      </c>
      <c r="H71">
        <v>110</v>
      </c>
      <c r="I71">
        <v>1.83</v>
      </c>
      <c r="J71">
        <v>14700</v>
      </c>
      <c r="K71">
        <v>8018</v>
      </c>
      <c r="L71" t="s">
        <v>162</v>
      </c>
      <c r="M71" t="s">
        <v>163</v>
      </c>
    </row>
    <row r="72" spans="1:13" x14ac:dyDescent="0.25">
      <c r="A72" t="s">
        <v>239</v>
      </c>
      <c r="B72" t="s">
        <v>3</v>
      </c>
      <c r="C72" t="s">
        <v>11</v>
      </c>
      <c r="D72" t="s">
        <v>109</v>
      </c>
      <c r="E72" t="s">
        <v>110</v>
      </c>
      <c r="F72" t="s">
        <v>121</v>
      </c>
      <c r="G72" t="s">
        <v>169</v>
      </c>
      <c r="H72">
        <v>170</v>
      </c>
      <c r="I72">
        <v>2.83</v>
      </c>
      <c r="J72">
        <v>16800</v>
      </c>
      <c r="K72">
        <v>5929</v>
      </c>
      <c r="L72" t="s">
        <v>162</v>
      </c>
      <c r="M72" t="s">
        <v>163</v>
      </c>
    </row>
    <row r="73" spans="1:13" x14ac:dyDescent="0.25">
      <c r="A73" t="s">
        <v>240</v>
      </c>
      <c r="B73" t="s">
        <v>3</v>
      </c>
      <c r="C73" t="s">
        <v>11</v>
      </c>
      <c r="D73" t="s">
        <v>109</v>
      </c>
      <c r="E73" t="s">
        <v>110</v>
      </c>
      <c r="F73" t="s">
        <v>122</v>
      </c>
      <c r="G73" t="s">
        <v>169</v>
      </c>
      <c r="H73">
        <v>220</v>
      </c>
      <c r="I73">
        <v>3.67</v>
      </c>
      <c r="J73">
        <v>20475</v>
      </c>
      <c r="K73">
        <v>5584</v>
      </c>
      <c r="L73" t="s">
        <v>162</v>
      </c>
      <c r="M73" t="s">
        <v>163</v>
      </c>
    </row>
    <row r="74" spans="1:13" x14ac:dyDescent="0.25">
      <c r="A74" t="s">
        <v>241</v>
      </c>
      <c r="B74" t="s">
        <v>1</v>
      </c>
      <c r="C74" t="s">
        <v>11</v>
      </c>
      <c r="D74" t="s">
        <v>109</v>
      </c>
      <c r="E74" t="s">
        <v>110</v>
      </c>
      <c r="F74" t="s">
        <v>123</v>
      </c>
      <c r="G74" t="s">
        <v>169</v>
      </c>
      <c r="H74">
        <v>150</v>
      </c>
      <c r="I74">
        <v>2.5</v>
      </c>
      <c r="J74">
        <v>14700</v>
      </c>
      <c r="K74">
        <v>5880</v>
      </c>
      <c r="L74" t="s">
        <v>162</v>
      </c>
      <c r="M74" t="s">
        <v>163</v>
      </c>
    </row>
    <row r="75" spans="1:13" x14ac:dyDescent="0.25">
      <c r="A75" t="s">
        <v>242</v>
      </c>
      <c r="B75" t="s">
        <v>2</v>
      </c>
      <c r="C75" t="s">
        <v>11</v>
      </c>
      <c r="D75" t="s">
        <v>109</v>
      </c>
      <c r="E75" t="s">
        <v>110</v>
      </c>
      <c r="F75" t="s">
        <v>124</v>
      </c>
      <c r="G75" t="s">
        <v>169</v>
      </c>
      <c r="H75">
        <v>170</v>
      </c>
      <c r="I75">
        <v>2.83</v>
      </c>
      <c r="J75">
        <v>16800</v>
      </c>
      <c r="K75">
        <v>5929</v>
      </c>
      <c r="L75" t="s">
        <v>162</v>
      </c>
      <c r="M75" t="s">
        <v>163</v>
      </c>
    </row>
    <row r="76" spans="1:13" x14ac:dyDescent="0.25">
      <c r="A76" t="s">
        <v>243</v>
      </c>
      <c r="B76" t="s">
        <v>2</v>
      </c>
      <c r="C76" t="s">
        <v>11</v>
      </c>
      <c r="D76" t="s">
        <v>109</v>
      </c>
      <c r="E76" t="s">
        <v>110</v>
      </c>
      <c r="F76" t="s">
        <v>125</v>
      </c>
      <c r="G76" t="s">
        <v>195</v>
      </c>
      <c r="H76">
        <v>330</v>
      </c>
      <c r="I76">
        <v>5.5</v>
      </c>
      <c r="J76">
        <v>19950</v>
      </c>
      <c r="K76">
        <v>3627</v>
      </c>
      <c r="L76" t="s">
        <v>162</v>
      </c>
      <c r="M76" t="s">
        <v>163</v>
      </c>
    </row>
    <row r="77" spans="1:13" x14ac:dyDescent="0.25">
      <c r="A77" t="s">
        <v>244</v>
      </c>
      <c r="B77" t="s">
        <v>5</v>
      </c>
      <c r="C77" t="s">
        <v>11</v>
      </c>
      <c r="D77" t="s">
        <v>109</v>
      </c>
      <c r="E77" t="s">
        <v>110</v>
      </c>
      <c r="F77" t="s">
        <v>126</v>
      </c>
      <c r="G77" t="s">
        <v>169</v>
      </c>
      <c r="H77">
        <v>210</v>
      </c>
      <c r="I77">
        <v>3.5</v>
      </c>
      <c r="J77">
        <v>14700</v>
      </c>
      <c r="K77">
        <v>4200</v>
      </c>
      <c r="L77" t="s">
        <v>162</v>
      </c>
      <c r="M77" t="s">
        <v>163</v>
      </c>
    </row>
    <row r="78" spans="1:13" x14ac:dyDescent="0.25">
      <c r="A78" t="s">
        <v>245</v>
      </c>
      <c r="B78" t="s">
        <v>5</v>
      </c>
      <c r="C78" t="s">
        <v>11</v>
      </c>
      <c r="D78" t="s">
        <v>109</v>
      </c>
      <c r="E78" t="s">
        <v>110</v>
      </c>
      <c r="F78" t="s">
        <v>127</v>
      </c>
      <c r="G78" t="s">
        <v>169</v>
      </c>
      <c r="H78">
        <v>250</v>
      </c>
      <c r="I78">
        <v>4.17</v>
      </c>
      <c r="J78">
        <v>14700</v>
      </c>
      <c r="K78">
        <v>3528</v>
      </c>
      <c r="L78" t="s">
        <v>162</v>
      </c>
      <c r="M78" t="s">
        <v>163</v>
      </c>
    </row>
    <row r="79" spans="1:13" x14ac:dyDescent="0.25">
      <c r="A79" t="s">
        <v>246</v>
      </c>
      <c r="B79" t="s">
        <v>4</v>
      </c>
      <c r="C79" t="s">
        <v>11</v>
      </c>
      <c r="D79" t="s">
        <v>109</v>
      </c>
      <c r="E79" t="s">
        <v>110</v>
      </c>
      <c r="F79" t="s">
        <v>128</v>
      </c>
      <c r="G79" t="s">
        <v>169</v>
      </c>
      <c r="H79">
        <v>280</v>
      </c>
      <c r="I79">
        <v>4.67</v>
      </c>
      <c r="J79">
        <v>14700</v>
      </c>
      <c r="K79">
        <v>3150</v>
      </c>
      <c r="L79" t="s">
        <v>162</v>
      </c>
      <c r="M79" t="s">
        <v>163</v>
      </c>
    </row>
    <row r="80" spans="1:13" x14ac:dyDescent="0.25">
      <c r="A80" t="s">
        <v>247</v>
      </c>
      <c r="B80" t="s">
        <v>4</v>
      </c>
      <c r="C80" t="s">
        <v>11</v>
      </c>
      <c r="D80" t="s">
        <v>109</v>
      </c>
      <c r="E80" t="s">
        <v>110</v>
      </c>
      <c r="F80" t="s">
        <v>129</v>
      </c>
      <c r="G80" t="s">
        <v>169</v>
      </c>
      <c r="H80">
        <v>180</v>
      </c>
      <c r="I80">
        <v>3</v>
      </c>
      <c r="J80">
        <v>14700</v>
      </c>
      <c r="K80">
        <v>4900</v>
      </c>
      <c r="L80" t="s">
        <v>162</v>
      </c>
      <c r="M80" t="s">
        <v>163</v>
      </c>
    </row>
    <row r="81" spans="1:13" x14ac:dyDescent="0.25">
      <c r="A81" t="s">
        <v>248</v>
      </c>
      <c r="B81" t="s">
        <v>4</v>
      </c>
      <c r="C81" t="s">
        <v>11</v>
      </c>
      <c r="D81" t="s">
        <v>109</v>
      </c>
      <c r="E81" t="s">
        <v>130</v>
      </c>
      <c r="F81" t="s">
        <v>134</v>
      </c>
      <c r="G81" t="s">
        <v>14</v>
      </c>
      <c r="H81">
        <v>480</v>
      </c>
      <c r="I81">
        <v>8</v>
      </c>
      <c r="J81" t="s">
        <v>14</v>
      </c>
      <c r="K81" t="s">
        <v>14</v>
      </c>
      <c r="L81" t="s">
        <v>162</v>
      </c>
      <c r="M81" t="s">
        <v>163</v>
      </c>
    </row>
    <row r="82" spans="1:13" x14ac:dyDescent="0.25">
      <c r="A82" t="s">
        <v>249</v>
      </c>
      <c r="B82" t="s">
        <v>1</v>
      </c>
      <c r="C82" t="s">
        <v>11</v>
      </c>
      <c r="D82" t="s">
        <v>109</v>
      </c>
      <c r="E82" t="s">
        <v>130</v>
      </c>
      <c r="F82" t="s">
        <v>135</v>
      </c>
      <c r="G82" t="s">
        <v>250</v>
      </c>
      <c r="H82">
        <v>480</v>
      </c>
      <c r="I82">
        <v>8</v>
      </c>
      <c r="J82" t="s">
        <v>14</v>
      </c>
      <c r="K82" t="s">
        <v>14</v>
      </c>
      <c r="L82" t="s">
        <v>162</v>
      </c>
      <c r="M82" t="s">
        <v>163</v>
      </c>
    </row>
    <row r="83" spans="1:13" x14ac:dyDescent="0.25">
      <c r="A83" t="s">
        <v>251</v>
      </c>
      <c r="B83" t="s">
        <v>2</v>
      </c>
      <c r="C83" t="s">
        <v>11</v>
      </c>
      <c r="D83" t="s">
        <v>109</v>
      </c>
      <c r="E83" t="s">
        <v>130</v>
      </c>
      <c r="F83" t="s">
        <v>135</v>
      </c>
      <c r="G83" t="s">
        <v>250</v>
      </c>
      <c r="H83">
        <v>480</v>
      </c>
      <c r="I83">
        <v>8</v>
      </c>
      <c r="J83" t="s">
        <v>14</v>
      </c>
      <c r="K83" t="s">
        <v>14</v>
      </c>
      <c r="L83" t="s">
        <v>162</v>
      </c>
      <c r="M83" t="s">
        <v>163</v>
      </c>
    </row>
    <row r="84" spans="1:13" x14ac:dyDescent="0.25">
      <c r="A84" t="s">
        <v>252</v>
      </c>
      <c r="B84" t="s">
        <v>3</v>
      </c>
      <c r="C84" t="s">
        <v>11</v>
      </c>
      <c r="D84" t="s">
        <v>109</v>
      </c>
      <c r="E84" t="s">
        <v>130</v>
      </c>
      <c r="F84" t="s">
        <v>135</v>
      </c>
      <c r="G84" t="s">
        <v>250</v>
      </c>
      <c r="H84">
        <v>480</v>
      </c>
      <c r="I84">
        <v>8</v>
      </c>
      <c r="J84" t="s">
        <v>14</v>
      </c>
      <c r="K84" t="s">
        <v>14</v>
      </c>
      <c r="L84" t="s">
        <v>162</v>
      </c>
      <c r="M84" t="s">
        <v>163</v>
      </c>
    </row>
    <row r="85" spans="1:13" x14ac:dyDescent="0.25">
      <c r="A85" t="s">
        <v>253</v>
      </c>
      <c r="B85" t="s">
        <v>5</v>
      </c>
      <c r="C85" t="s">
        <v>11</v>
      </c>
      <c r="D85" t="s">
        <v>109</v>
      </c>
      <c r="E85" t="s">
        <v>130</v>
      </c>
      <c r="F85" t="s">
        <v>135</v>
      </c>
      <c r="G85" t="s">
        <v>250</v>
      </c>
      <c r="H85">
        <v>540</v>
      </c>
      <c r="I85">
        <v>9</v>
      </c>
      <c r="J85" t="s">
        <v>14</v>
      </c>
      <c r="K85" t="s">
        <v>14</v>
      </c>
      <c r="L85" t="s">
        <v>162</v>
      </c>
      <c r="M85" t="s">
        <v>163</v>
      </c>
    </row>
    <row r="86" spans="1:13" x14ac:dyDescent="0.25">
      <c r="A86" t="s">
        <v>254</v>
      </c>
      <c r="B86" t="s">
        <v>5</v>
      </c>
      <c r="C86" t="s">
        <v>136</v>
      </c>
      <c r="D86" t="s">
        <v>137</v>
      </c>
      <c r="E86" t="s">
        <v>255</v>
      </c>
      <c r="F86" t="s">
        <v>138</v>
      </c>
      <c r="G86" t="s">
        <v>14</v>
      </c>
      <c r="H86">
        <v>480</v>
      </c>
      <c r="I86">
        <v>8</v>
      </c>
      <c r="J86">
        <v>48806</v>
      </c>
      <c r="K86">
        <v>6101</v>
      </c>
      <c r="L86" t="s">
        <v>162</v>
      </c>
      <c r="M86" t="s">
        <v>163</v>
      </c>
    </row>
    <row r="87" spans="1:13" x14ac:dyDescent="0.25">
      <c r="A87" t="s">
        <v>256</v>
      </c>
      <c r="B87" t="s">
        <v>6</v>
      </c>
      <c r="C87" t="s">
        <v>136</v>
      </c>
      <c r="D87" t="s">
        <v>139</v>
      </c>
      <c r="E87" t="s">
        <v>140</v>
      </c>
      <c r="F87" t="s">
        <v>141</v>
      </c>
      <c r="G87" t="s">
        <v>169</v>
      </c>
      <c r="H87">
        <v>480</v>
      </c>
      <c r="I87">
        <v>8</v>
      </c>
      <c r="J87">
        <v>18375</v>
      </c>
      <c r="K87">
        <v>2297</v>
      </c>
      <c r="L87" t="s">
        <v>162</v>
      </c>
      <c r="M87" t="s">
        <v>163</v>
      </c>
    </row>
    <row r="88" spans="1:13" x14ac:dyDescent="0.25">
      <c r="A88" t="s">
        <v>257</v>
      </c>
      <c r="B88" t="s">
        <v>4</v>
      </c>
      <c r="C88" t="s">
        <v>136</v>
      </c>
      <c r="D88" t="s">
        <v>139</v>
      </c>
      <c r="E88" t="s">
        <v>140</v>
      </c>
      <c r="F88" t="s">
        <v>142</v>
      </c>
      <c r="G88" t="s">
        <v>169</v>
      </c>
      <c r="H88">
        <v>480</v>
      </c>
      <c r="I88">
        <v>8</v>
      </c>
      <c r="J88">
        <v>14700</v>
      </c>
      <c r="K88">
        <v>1838</v>
      </c>
      <c r="L88" t="s">
        <v>162</v>
      </c>
      <c r="M88" t="s">
        <v>163</v>
      </c>
    </row>
    <row r="89" spans="1:13" x14ac:dyDescent="0.25">
      <c r="A89" t="s">
        <v>258</v>
      </c>
      <c r="B89" t="s">
        <v>5</v>
      </c>
      <c r="C89" t="s">
        <v>136</v>
      </c>
      <c r="D89" t="s">
        <v>143</v>
      </c>
      <c r="E89" t="s">
        <v>144</v>
      </c>
      <c r="F89" t="s">
        <v>145</v>
      </c>
      <c r="G89" t="s">
        <v>169</v>
      </c>
      <c r="H89">
        <v>240</v>
      </c>
      <c r="I89">
        <v>4</v>
      </c>
      <c r="J89">
        <v>14700</v>
      </c>
      <c r="K89">
        <v>3675</v>
      </c>
      <c r="L89" t="s">
        <v>162</v>
      </c>
      <c r="M89" t="s">
        <v>163</v>
      </c>
    </row>
    <row r="90" spans="1:13" x14ac:dyDescent="0.25">
      <c r="A90" t="s">
        <v>259</v>
      </c>
      <c r="B90" t="s">
        <v>1</v>
      </c>
      <c r="C90" t="s">
        <v>146</v>
      </c>
      <c r="D90" t="s">
        <v>147</v>
      </c>
      <c r="E90" t="s">
        <v>148</v>
      </c>
      <c r="F90" t="s">
        <v>149</v>
      </c>
      <c r="G90" t="s">
        <v>14</v>
      </c>
      <c r="H90">
        <v>480</v>
      </c>
      <c r="I90">
        <v>8</v>
      </c>
      <c r="J90">
        <v>13000</v>
      </c>
      <c r="K90">
        <v>1625</v>
      </c>
      <c r="L90" t="s">
        <v>162</v>
      </c>
      <c r="M90" t="s">
        <v>163</v>
      </c>
    </row>
    <row r="91" spans="1:13" x14ac:dyDescent="0.25">
      <c r="A91" t="s">
        <v>260</v>
      </c>
      <c r="B91" t="s">
        <v>2</v>
      </c>
      <c r="C91" t="s">
        <v>146</v>
      </c>
      <c r="D91" t="s">
        <v>147</v>
      </c>
      <c r="E91" t="s">
        <v>148</v>
      </c>
      <c r="F91" t="s">
        <v>149</v>
      </c>
      <c r="G91" t="s">
        <v>14</v>
      </c>
      <c r="H91">
        <v>480</v>
      </c>
      <c r="I91">
        <v>8</v>
      </c>
      <c r="J91">
        <v>13000</v>
      </c>
      <c r="K91">
        <v>1625</v>
      </c>
      <c r="L91" t="s">
        <v>162</v>
      </c>
      <c r="M91" t="s">
        <v>163</v>
      </c>
    </row>
    <row r="92" spans="1:13" x14ac:dyDescent="0.25">
      <c r="A92" t="s">
        <v>261</v>
      </c>
      <c r="B92" t="s">
        <v>3</v>
      </c>
      <c r="C92" t="s">
        <v>146</v>
      </c>
      <c r="D92" t="s">
        <v>147</v>
      </c>
      <c r="E92" t="s">
        <v>148</v>
      </c>
      <c r="F92" t="s">
        <v>149</v>
      </c>
      <c r="G92" t="s">
        <v>14</v>
      </c>
      <c r="H92">
        <v>480</v>
      </c>
      <c r="I92">
        <v>8</v>
      </c>
      <c r="J92">
        <v>13000</v>
      </c>
      <c r="K92">
        <v>1625</v>
      </c>
      <c r="L92" t="s">
        <v>162</v>
      </c>
      <c r="M92" t="s">
        <v>163</v>
      </c>
    </row>
    <row r="93" spans="1:13" x14ac:dyDescent="0.25">
      <c r="A93" t="s">
        <v>262</v>
      </c>
      <c r="B93" t="s">
        <v>4</v>
      </c>
      <c r="C93" t="s">
        <v>146</v>
      </c>
      <c r="D93" t="s">
        <v>147</v>
      </c>
      <c r="E93" t="s">
        <v>148</v>
      </c>
      <c r="F93" t="s">
        <v>149</v>
      </c>
      <c r="G93" t="s">
        <v>14</v>
      </c>
      <c r="H93">
        <v>480</v>
      </c>
      <c r="I93">
        <v>8</v>
      </c>
      <c r="J93">
        <v>13000</v>
      </c>
      <c r="K93">
        <v>1625</v>
      </c>
      <c r="L93" t="s">
        <v>162</v>
      </c>
      <c r="M93" t="s">
        <v>163</v>
      </c>
    </row>
    <row r="94" spans="1:13" x14ac:dyDescent="0.25">
      <c r="A94" t="s">
        <v>263</v>
      </c>
      <c r="B94" t="s">
        <v>5</v>
      </c>
      <c r="C94" t="s">
        <v>146</v>
      </c>
      <c r="D94" t="s">
        <v>147</v>
      </c>
      <c r="E94" t="s">
        <v>148</v>
      </c>
      <c r="F94" t="s">
        <v>149</v>
      </c>
      <c r="G94" t="s">
        <v>14</v>
      </c>
      <c r="H94">
        <v>480</v>
      </c>
      <c r="I94">
        <v>8</v>
      </c>
      <c r="J94">
        <v>13000</v>
      </c>
      <c r="K94">
        <v>1625</v>
      </c>
      <c r="L94" t="s">
        <v>162</v>
      </c>
      <c r="M94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10" customWidth="1"/>
  </cols>
  <sheetData>
    <row r="1" spans="1:1" x14ac:dyDescent="0.25">
      <c r="A1" t="s">
        <v>264</v>
      </c>
    </row>
    <row r="2" spans="1:1" x14ac:dyDescent="0.25">
      <c r="A2" t="s">
        <v>265</v>
      </c>
    </row>
    <row r="3" spans="1:1" x14ac:dyDescent="0.25">
      <c r="A3" t="s">
        <v>14</v>
      </c>
    </row>
    <row r="4" spans="1:1" x14ac:dyDescent="0.25">
      <c r="A4" t="s">
        <v>266</v>
      </c>
    </row>
    <row r="5" spans="1:1" x14ac:dyDescent="0.25">
      <c r="A5" t="s">
        <v>267</v>
      </c>
    </row>
    <row r="6" spans="1:1" x14ac:dyDescent="0.25">
      <c r="A6" t="s">
        <v>268</v>
      </c>
    </row>
    <row r="7" spans="1:1" x14ac:dyDescent="0.25">
      <c r="A7" t="s">
        <v>269</v>
      </c>
    </row>
    <row r="8" spans="1:1" x14ac:dyDescent="0.25">
      <c r="A8" t="s">
        <v>270</v>
      </c>
    </row>
    <row r="9" spans="1:1" x14ac:dyDescent="0.25">
      <c r="A9" t="s">
        <v>271</v>
      </c>
    </row>
    <row r="10" spans="1:1" x14ac:dyDescent="0.25">
      <c r="A10" t="s">
        <v>272</v>
      </c>
    </row>
    <row r="11" spans="1:1" x14ac:dyDescent="0.25">
      <c r="A11" t="s">
        <v>273</v>
      </c>
    </row>
    <row r="12" spans="1:1" x14ac:dyDescent="0.25">
      <c r="A12" t="s">
        <v>274</v>
      </c>
    </row>
    <row r="13" spans="1:1" x14ac:dyDescent="0.25">
      <c r="A13" t="s">
        <v>275</v>
      </c>
    </row>
    <row r="14" spans="1:1" x14ac:dyDescent="0.25">
      <c r="A14" t="s">
        <v>276</v>
      </c>
    </row>
    <row r="15" spans="1:1" x14ac:dyDescent="0.25">
      <c r="A15" t="s">
        <v>14</v>
      </c>
    </row>
    <row r="16" spans="1:1" x14ac:dyDescent="0.25">
      <c r="A16" t="s">
        <v>277</v>
      </c>
    </row>
    <row r="17" spans="1:1" x14ac:dyDescent="0.25">
      <c r="A17" t="s">
        <v>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Отчёт</vt:lpstr>
      <vt:lpstr>Записи</vt:lpstr>
      <vt:lpstr>Как считалось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ГАЙКА AI, газовое направление</dc:creator>
  <dc:title/>
  <dc:subject/>
  <dc:description/>
  <cp:keywords/>
  <cp:category/>
  <cp:lastModifiedBy>Unknown</cp:lastModifiedBy>
  <dcterms:created xsi:type="dcterms:W3CDTF">2026-10-19T19:33:47Z</dcterms:created>
  <dcterms:modified xsi:type="dcterms:W3CDTF">2026-10-19T19:33:47Z</dcterms:modified>
</cp:coreProperties>
</file>